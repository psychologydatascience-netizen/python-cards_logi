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cuments\Eitan (PC)\עבודה\לוגיפס\פרויקטים\למידה2.0\"/>
    </mc:Choice>
  </mc:AlternateContent>
  <xr:revisionPtr revIDLastSave="0" documentId="13_ncr:1_{BC0B151B-35D7-474C-9C47-9D8EACA2B333}" xr6:coauthVersionLast="47" xr6:coauthVersionMax="47" xr10:uidLastSave="{00000000-0000-0000-0000-000000000000}"/>
  <bookViews>
    <workbookView xWindow="-23148" yWindow="-108" windowWidth="23256" windowHeight="12456" activeTab="3" xr2:uid="{16256990-8D7F-4C4B-A171-7624A2C1A609}"/>
  </bookViews>
  <sheets>
    <sheet name="קושי" sheetId="1" r:id="rId1"/>
    <sheet name="נסיון" sheetId="2" r:id="rId2"/>
    <sheet name="DEMO" sheetId="3" r:id="rId3"/>
    <sheet name="d.card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8" i="4" l="1"/>
  <c r="C93" i="4"/>
  <c r="C88" i="4"/>
  <c r="C83" i="4"/>
  <c r="C78" i="4"/>
  <c r="W47" i="3"/>
  <c r="R47" i="3"/>
  <c r="M47" i="3"/>
  <c r="H47" i="3"/>
  <c r="C47" i="3"/>
  <c r="G4" i="4"/>
  <c r="G5" i="4"/>
  <c r="G7" i="4"/>
  <c r="G12" i="4"/>
  <c r="G16" i="4"/>
  <c r="G17" i="4"/>
  <c r="G18" i="4"/>
  <c r="G22" i="4"/>
  <c r="G2" i="4"/>
  <c r="E25" i="4"/>
  <c r="C25" i="4"/>
  <c r="G25" i="4" s="1"/>
  <c r="E20" i="4"/>
  <c r="C20" i="4"/>
  <c r="E15" i="4"/>
  <c r="C15" i="4"/>
  <c r="G15" i="4" s="1"/>
  <c r="E10" i="4"/>
  <c r="C10" i="4"/>
  <c r="G10" i="4" s="1"/>
  <c r="E5" i="4"/>
  <c r="C5" i="4"/>
  <c r="D24" i="4"/>
  <c r="D19" i="4"/>
  <c r="D14" i="4"/>
  <c r="D9" i="4"/>
  <c r="D4" i="4"/>
  <c r="F23" i="4"/>
  <c r="F24" i="4" s="1"/>
  <c r="F25" i="4" s="1"/>
  <c r="F26" i="4" s="1"/>
  <c r="G26" i="4" s="1"/>
  <c r="E23" i="4"/>
  <c r="D23" i="4"/>
  <c r="G23" i="4" s="1"/>
  <c r="F18" i="4"/>
  <c r="F19" i="4" s="1"/>
  <c r="E18" i="4"/>
  <c r="D18" i="4"/>
  <c r="F13" i="4"/>
  <c r="F14" i="4" s="1"/>
  <c r="F15" i="4" s="1"/>
  <c r="F16" i="4" s="1"/>
  <c r="E13" i="4"/>
  <c r="D13" i="4"/>
  <c r="F8" i="4"/>
  <c r="F9" i="4" s="1"/>
  <c r="F10" i="4" s="1"/>
  <c r="F11" i="4" s="1"/>
  <c r="G11" i="4" s="1"/>
  <c r="E8" i="4"/>
  <c r="D8" i="4"/>
  <c r="G8" i="4" s="1"/>
  <c r="F3" i="4"/>
  <c r="F4" i="4" s="1"/>
  <c r="F5" i="4" s="1"/>
  <c r="F6" i="4" s="1"/>
  <c r="G6" i="4" s="1"/>
  <c r="E3" i="4"/>
  <c r="G3" i="4" s="1"/>
  <c r="D3" i="4"/>
  <c r="G27" i="4"/>
  <c r="G32" i="4"/>
  <c r="G37" i="4"/>
  <c r="G42" i="4"/>
  <c r="G47" i="4"/>
  <c r="G52" i="4"/>
  <c r="G57" i="4"/>
  <c r="G62" i="4"/>
  <c r="G67" i="4"/>
  <c r="G72" i="4"/>
  <c r="G77" i="4"/>
  <c r="G80" i="4"/>
  <c r="G82" i="4"/>
  <c r="G85" i="4"/>
  <c r="G87" i="4"/>
  <c r="G90" i="4"/>
  <c r="G92" i="4"/>
  <c r="G95" i="4"/>
  <c r="G97" i="4"/>
  <c r="G100" i="4"/>
  <c r="G102" i="4"/>
  <c r="G107" i="4"/>
  <c r="G112" i="4"/>
  <c r="G117" i="4"/>
  <c r="G122" i="4"/>
  <c r="G127" i="4"/>
  <c r="G132" i="4"/>
  <c r="G137" i="4"/>
  <c r="G142" i="4"/>
  <c r="G147" i="4"/>
  <c r="E151" i="4"/>
  <c r="D151" i="4"/>
  <c r="E146" i="4"/>
  <c r="D146" i="4"/>
  <c r="E141" i="4"/>
  <c r="D141" i="4"/>
  <c r="E136" i="4"/>
  <c r="D136" i="4"/>
  <c r="E131" i="4"/>
  <c r="D131" i="4"/>
  <c r="F150" i="4"/>
  <c r="C150" i="4"/>
  <c r="F145" i="4"/>
  <c r="C145" i="4"/>
  <c r="F140" i="4"/>
  <c r="C140" i="4"/>
  <c r="F135" i="4"/>
  <c r="C135" i="4"/>
  <c r="F130" i="4"/>
  <c r="C130" i="4"/>
  <c r="F149" i="4"/>
  <c r="D149" i="4"/>
  <c r="C149" i="4"/>
  <c r="F144" i="4"/>
  <c r="D144" i="4"/>
  <c r="C144" i="4"/>
  <c r="F139" i="4"/>
  <c r="D139" i="4"/>
  <c r="C139" i="4"/>
  <c r="F134" i="4"/>
  <c r="D134" i="4"/>
  <c r="C134" i="4"/>
  <c r="F129" i="4"/>
  <c r="D129" i="4"/>
  <c r="C129" i="4"/>
  <c r="E148" i="4"/>
  <c r="C148" i="4"/>
  <c r="E143" i="4"/>
  <c r="C143" i="4"/>
  <c r="E138" i="4"/>
  <c r="C138" i="4"/>
  <c r="E133" i="4"/>
  <c r="C133" i="4"/>
  <c r="E128" i="4"/>
  <c r="C128" i="4"/>
  <c r="F101" i="4"/>
  <c r="G101" i="4" s="1"/>
  <c r="F96" i="4"/>
  <c r="G96" i="4" s="1"/>
  <c r="F91" i="4"/>
  <c r="G91" i="4" s="1"/>
  <c r="F86" i="4"/>
  <c r="G86" i="4" s="1"/>
  <c r="F81" i="4"/>
  <c r="G81" i="4" s="1"/>
  <c r="E99" i="4"/>
  <c r="D99" i="4"/>
  <c r="E94" i="4"/>
  <c r="D94" i="4"/>
  <c r="E89" i="4"/>
  <c r="D89" i="4"/>
  <c r="E84" i="4"/>
  <c r="D84" i="4"/>
  <c r="E79" i="4"/>
  <c r="D79" i="4"/>
  <c r="E98" i="4"/>
  <c r="G98" i="4" s="1"/>
  <c r="E93" i="4"/>
  <c r="G93" i="4" s="1"/>
  <c r="E88" i="4"/>
  <c r="G88" i="4" s="1"/>
  <c r="E83" i="4"/>
  <c r="G83" i="4" s="1"/>
  <c r="E78" i="4"/>
  <c r="G78" i="4" s="1"/>
  <c r="D53" i="4"/>
  <c r="E53" i="4"/>
  <c r="F53" i="4"/>
  <c r="D58" i="4"/>
  <c r="E58" i="4"/>
  <c r="F58" i="4"/>
  <c r="D63" i="4"/>
  <c r="E63" i="4"/>
  <c r="F63" i="4"/>
  <c r="D68" i="4"/>
  <c r="E68" i="4"/>
  <c r="F68" i="4"/>
  <c r="D73" i="4"/>
  <c r="E73" i="4"/>
  <c r="F73" i="4"/>
  <c r="D54" i="4"/>
  <c r="E54" i="4"/>
  <c r="D59" i="4"/>
  <c r="E59" i="4"/>
  <c r="D64" i="4"/>
  <c r="E64" i="4"/>
  <c r="D69" i="4"/>
  <c r="E69" i="4"/>
  <c r="D74" i="4"/>
  <c r="E74" i="4"/>
  <c r="C55" i="4"/>
  <c r="E55" i="4"/>
  <c r="F55" i="4"/>
  <c r="C60" i="4"/>
  <c r="E60" i="4"/>
  <c r="F60" i="4"/>
  <c r="C65" i="4"/>
  <c r="E65" i="4"/>
  <c r="F65" i="4"/>
  <c r="C70" i="4"/>
  <c r="E70" i="4"/>
  <c r="F70" i="4"/>
  <c r="C75" i="4"/>
  <c r="E75" i="4"/>
  <c r="F75" i="4"/>
  <c r="C56" i="4"/>
  <c r="D56" i="4"/>
  <c r="E56" i="4"/>
  <c r="C61" i="4"/>
  <c r="D61" i="4"/>
  <c r="E61" i="4"/>
  <c r="C66" i="4"/>
  <c r="D66" i="4"/>
  <c r="E66" i="4"/>
  <c r="C71" i="4"/>
  <c r="D71" i="4"/>
  <c r="E71" i="4"/>
  <c r="C76" i="4"/>
  <c r="D76" i="4"/>
  <c r="E76" i="4"/>
  <c r="F51" i="4"/>
  <c r="D51" i="4"/>
  <c r="C51" i="4"/>
  <c r="F46" i="4"/>
  <c r="D46" i="4"/>
  <c r="C46" i="4"/>
  <c r="F41" i="4"/>
  <c r="D41" i="4"/>
  <c r="C41" i="4"/>
  <c r="F36" i="4"/>
  <c r="D36" i="4"/>
  <c r="C36" i="4"/>
  <c r="F31" i="4"/>
  <c r="D31" i="4"/>
  <c r="C31" i="4"/>
  <c r="E50" i="4"/>
  <c r="D50" i="4"/>
  <c r="C50" i="4"/>
  <c r="E45" i="4"/>
  <c r="D45" i="4"/>
  <c r="C45" i="4"/>
  <c r="E40" i="4"/>
  <c r="D40" i="4"/>
  <c r="C40" i="4"/>
  <c r="E35" i="4"/>
  <c r="D35" i="4"/>
  <c r="C35" i="4"/>
  <c r="E30" i="4"/>
  <c r="D30" i="4"/>
  <c r="C30" i="4"/>
  <c r="F49" i="4"/>
  <c r="C49" i="4"/>
  <c r="F44" i="4"/>
  <c r="C44" i="4"/>
  <c r="F39" i="4"/>
  <c r="C39" i="4"/>
  <c r="F34" i="4"/>
  <c r="C34" i="4"/>
  <c r="F29" i="4"/>
  <c r="C29" i="4"/>
  <c r="F48" i="4"/>
  <c r="E48" i="4"/>
  <c r="C48" i="4"/>
  <c r="F43" i="4"/>
  <c r="E43" i="4"/>
  <c r="C43" i="4"/>
  <c r="F38" i="4"/>
  <c r="E38" i="4"/>
  <c r="C38" i="4"/>
  <c r="F33" i="4"/>
  <c r="E33" i="4"/>
  <c r="C33" i="4"/>
  <c r="F28" i="4"/>
  <c r="E28" i="4"/>
  <c r="C28" i="4"/>
  <c r="D126" i="4"/>
  <c r="G126" i="4" s="1"/>
  <c r="D121" i="4"/>
  <c r="G121" i="4" s="1"/>
  <c r="D116" i="4"/>
  <c r="G116" i="4" s="1"/>
  <c r="D111" i="4"/>
  <c r="G111" i="4" s="1"/>
  <c r="D106" i="4"/>
  <c r="G106" i="4" s="1"/>
  <c r="F125" i="4"/>
  <c r="E125" i="4"/>
  <c r="F120" i="4"/>
  <c r="E120" i="4"/>
  <c r="F115" i="4"/>
  <c r="E115" i="4"/>
  <c r="F110" i="4"/>
  <c r="E110" i="4"/>
  <c r="F105" i="4"/>
  <c r="E105" i="4"/>
  <c r="D124" i="4"/>
  <c r="C124" i="4"/>
  <c r="D119" i="4"/>
  <c r="C119" i="4"/>
  <c r="D114" i="4"/>
  <c r="G114" i="4" s="1"/>
  <c r="D109" i="4"/>
  <c r="C109" i="4"/>
  <c r="D104" i="4"/>
  <c r="C104" i="4"/>
  <c r="E123" i="4"/>
  <c r="D123" i="4"/>
  <c r="E118" i="4"/>
  <c r="D118" i="4"/>
  <c r="E113" i="4"/>
  <c r="D113" i="4"/>
  <c r="E108" i="4"/>
  <c r="D108" i="4"/>
  <c r="E103" i="4"/>
  <c r="D103" i="4"/>
  <c r="Y64" i="3"/>
  <c r="X64" i="3"/>
  <c r="Z63" i="3"/>
  <c r="W63" i="3"/>
  <c r="Z62" i="3"/>
  <c r="X62" i="3"/>
  <c r="W62" i="3"/>
  <c r="Y61" i="3"/>
  <c r="W61" i="3"/>
  <c r="T64" i="3"/>
  <c r="S64" i="3"/>
  <c r="U63" i="3"/>
  <c r="R63" i="3"/>
  <c r="U62" i="3"/>
  <c r="S62" i="3"/>
  <c r="R62" i="3"/>
  <c r="T61" i="3"/>
  <c r="R61" i="3"/>
  <c r="O64" i="3"/>
  <c r="N64" i="3"/>
  <c r="P63" i="3"/>
  <c r="M63" i="3"/>
  <c r="P62" i="3"/>
  <c r="N62" i="3"/>
  <c r="M62" i="3"/>
  <c r="O61" i="3"/>
  <c r="M61" i="3"/>
  <c r="J64" i="3"/>
  <c r="I64" i="3"/>
  <c r="K63" i="3"/>
  <c r="H63" i="3"/>
  <c r="K62" i="3"/>
  <c r="I62" i="3"/>
  <c r="H62" i="3"/>
  <c r="J61" i="3"/>
  <c r="H61" i="3"/>
  <c r="E64" i="3"/>
  <c r="D64" i="3"/>
  <c r="C63" i="3"/>
  <c r="F63" i="3"/>
  <c r="C62" i="3"/>
  <c r="D62" i="3"/>
  <c r="F62" i="3"/>
  <c r="C61" i="3"/>
  <c r="E61" i="3"/>
  <c r="X57" i="3"/>
  <c r="Z56" i="3"/>
  <c r="Y56" i="3"/>
  <c r="X55" i="3"/>
  <c r="W55" i="3"/>
  <c r="Y54" i="3"/>
  <c r="X54" i="3"/>
  <c r="S57" i="3"/>
  <c r="U56" i="3"/>
  <c r="T56" i="3"/>
  <c r="S55" i="3"/>
  <c r="R55" i="3"/>
  <c r="T54" i="3"/>
  <c r="S54" i="3"/>
  <c r="N57" i="3"/>
  <c r="P56" i="3"/>
  <c r="O56" i="3"/>
  <c r="N55" i="3"/>
  <c r="O54" i="3"/>
  <c r="N54" i="3"/>
  <c r="I57" i="3"/>
  <c r="K56" i="3"/>
  <c r="J56" i="3"/>
  <c r="I55" i="3"/>
  <c r="H55" i="3"/>
  <c r="J54" i="3"/>
  <c r="I54" i="3"/>
  <c r="D57" i="3"/>
  <c r="E56" i="3"/>
  <c r="F56" i="3"/>
  <c r="C55" i="3"/>
  <c r="D54" i="3"/>
  <c r="D55" i="3"/>
  <c r="E54" i="3"/>
  <c r="Z50" i="3"/>
  <c r="U50" i="3"/>
  <c r="P50" i="3"/>
  <c r="K50" i="3"/>
  <c r="F50" i="3"/>
  <c r="Y48" i="3"/>
  <c r="X48" i="3"/>
  <c r="Y47" i="3"/>
  <c r="T48" i="3"/>
  <c r="S48" i="3"/>
  <c r="T47" i="3"/>
  <c r="O48" i="3"/>
  <c r="N48" i="3"/>
  <c r="O47" i="3"/>
  <c r="J48" i="3"/>
  <c r="I48" i="3"/>
  <c r="J47" i="3"/>
  <c r="E48" i="3"/>
  <c r="D48" i="3"/>
  <c r="E47" i="3"/>
  <c r="Z36" i="3"/>
  <c r="X36" i="3"/>
  <c r="W36" i="3"/>
  <c r="Y35" i="3"/>
  <c r="X35" i="3"/>
  <c r="W35" i="3"/>
  <c r="Z34" i="3"/>
  <c r="W34" i="3"/>
  <c r="Z33" i="3"/>
  <c r="Y33" i="3"/>
  <c r="W33" i="3"/>
  <c r="U36" i="3"/>
  <c r="S36" i="3"/>
  <c r="R36" i="3"/>
  <c r="T35" i="3"/>
  <c r="S35" i="3"/>
  <c r="R35" i="3"/>
  <c r="U34" i="3"/>
  <c r="R34" i="3"/>
  <c r="U33" i="3"/>
  <c r="T33" i="3"/>
  <c r="R33" i="3"/>
  <c r="P36" i="3"/>
  <c r="N36" i="3"/>
  <c r="M36" i="3"/>
  <c r="O35" i="3"/>
  <c r="N35" i="3"/>
  <c r="M35" i="3"/>
  <c r="P34" i="3"/>
  <c r="M34" i="3"/>
  <c r="P33" i="3"/>
  <c r="O33" i="3"/>
  <c r="M33" i="3"/>
  <c r="K36" i="3"/>
  <c r="I36" i="3"/>
  <c r="H36" i="3"/>
  <c r="J35" i="3"/>
  <c r="I35" i="3"/>
  <c r="H35" i="3"/>
  <c r="K34" i="3"/>
  <c r="H34" i="3"/>
  <c r="K33" i="3"/>
  <c r="J33" i="3"/>
  <c r="H33" i="3"/>
  <c r="F36" i="3"/>
  <c r="C36" i="3"/>
  <c r="D36" i="3"/>
  <c r="C35" i="3"/>
  <c r="D35" i="3"/>
  <c r="E35" i="3"/>
  <c r="C34" i="3"/>
  <c r="F34" i="3"/>
  <c r="C33" i="3"/>
  <c r="E33" i="3"/>
  <c r="F33" i="3"/>
  <c r="Y28" i="3"/>
  <c r="W28" i="3"/>
  <c r="X27" i="3"/>
  <c r="Z26" i="3"/>
  <c r="Z27" i="3" s="1"/>
  <c r="Z28" i="3" s="1"/>
  <c r="Z29" i="3" s="1"/>
  <c r="Y26" i="3"/>
  <c r="X26" i="3"/>
  <c r="T28" i="3"/>
  <c r="R28" i="3"/>
  <c r="S27" i="3"/>
  <c r="U26" i="3"/>
  <c r="U27" i="3" s="1"/>
  <c r="U28" i="3" s="1"/>
  <c r="U29" i="3" s="1"/>
  <c r="T26" i="3"/>
  <c r="S26" i="3"/>
  <c r="O28" i="3"/>
  <c r="M28" i="3"/>
  <c r="P27" i="3"/>
  <c r="P28" i="3" s="1"/>
  <c r="P29" i="3" s="1"/>
  <c r="N27" i="3"/>
  <c r="P26" i="3"/>
  <c r="O26" i="3"/>
  <c r="N26" i="3"/>
  <c r="J28" i="3"/>
  <c r="H28" i="3"/>
  <c r="I27" i="3"/>
  <c r="K26" i="3"/>
  <c r="K27" i="3" s="1"/>
  <c r="K28" i="3" s="1"/>
  <c r="K29" i="3" s="1"/>
  <c r="J26" i="3"/>
  <c r="I26" i="3"/>
  <c r="C28" i="3"/>
  <c r="E28" i="3"/>
  <c r="D27" i="3"/>
  <c r="D26" i="3"/>
  <c r="E26" i="3"/>
  <c r="F27" i="3"/>
  <c r="F28" i="3"/>
  <c r="F29" i="3"/>
  <c r="F26" i="3"/>
  <c r="G2" i="3"/>
  <c r="F2" i="3"/>
  <c r="E2" i="3"/>
  <c r="D2" i="3"/>
  <c r="I14" i="2"/>
  <c r="J14" i="2"/>
  <c r="K14" i="2"/>
  <c r="H14" i="2"/>
  <c r="E23" i="2"/>
  <c r="F23" i="2" s="1"/>
  <c r="C16" i="2"/>
  <c r="D16" i="2" s="1"/>
  <c r="E16" i="2"/>
  <c r="F16" i="2" s="1"/>
  <c r="F20" i="4" l="1"/>
  <c r="F21" i="4" s="1"/>
  <c r="G21" i="4" s="1"/>
  <c r="G19" i="4"/>
  <c r="G13" i="4"/>
  <c r="G24" i="4"/>
  <c r="G14" i="4"/>
  <c r="G9" i="4"/>
  <c r="G109" i="4"/>
  <c r="G124" i="4"/>
  <c r="G29" i="4"/>
  <c r="G140" i="4"/>
  <c r="G36" i="4"/>
  <c r="G99" i="4"/>
  <c r="G130" i="4"/>
  <c r="G146" i="4"/>
  <c r="G150" i="4"/>
  <c r="G105" i="4"/>
  <c r="G34" i="4"/>
  <c r="G145" i="4"/>
  <c r="G133" i="4"/>
  <c r="G46" i="4"/>
  <c r="G118" i="4"/>
  <c r="G51" i="4"/>
  <c r="G115" i="4"/>
  <c r="G84" i="4"/>
  <c r="G143" i="4"/>
  <c r="G119" i="4"/>
  <c r="G135" i="4"/>
  <c r="G151" i="4"/>
  <c r="G60" i="4"/>
  <c r="G134" i="4"/>
  <c r="G40" i="4"/>
  <c r="G108" i="4"/>
  <c r="G28" i="4"/>
  <c r="G94" i="4"/>
  <c r="G128" i="4"/>
  <c r="G73" i="4"/>
  <c r="G104" i="4"/>
  <c r="G31" i="4"/>
  <c r="G149" i="4"/>
  <c r="G125" i="4"/>
  <c r="G30" i="4"/>
  <c r="G141" i="4"/>
  <c r="G120" i="4"/>
  <c r="G49" i="4"/>
  <c r="G89" i="4"/>
  <c r="G136" i="4"/>
  <c r="G61" i="4"/>
  <c r="G58" i="4"/>
  <c r="G39" i="4"/>
  <c r="G103" i="4"/>
  <c r="G41" i="4"/>
  <c r="G69" i="4"/>
  <c r="G55" i="4"/>
  <c r="G139" i="4"/>
  <c r="G50" i="4"/>
  <c r="G131" i="4"/>
  <c r="G123" i="4"/>
  <c r="G38" i="4"/>
  <c r="G74" i="4"/>
  <c r="G138" i="4"/>
  <c r="G44" i="4"/>
  <c r="G56" i="4"/>
  <c r="G144" i="4"/>
  <c r="G70" i="4"/>
  <c r="G148" i="4"/>
  <c r="G63" i="4"/>
  <c r="G48" i="4"/>
  <c r="G35" i="4"/>
  <c r="G71" i="4"/>
  <c r="G59" i="4"/>
  <c r="G129" i="4"/>
  <c r="G64" i="4"/>
  <c r="G65" i="4"/>
  <c r="G54" i="4"/>
  <c r="G75" i="4"/>
  <c r="G76" i="4"/>
  <c r="G66" i="4"/>
  <c r="G43" i="4"/>
  <c r="G113" i="4"/>
  <c r="G45" i="4"/>
  <c r="G53" i="4"/>
  <c r="G110" i="4"/>
  <c r="G33" i="4"/>
  <c r="G68" i="4"/>
  <c r="G79" i="4"/>
  <c r="U28" i="1"/>
  <c r="U26" i="1"/>
  <c r="U25" i="1"/>
  <c r="U22" i="1"/>
  <c r="U21" i="1"/>
  <c r="U19" i="1"/>
  <c r="T52" i="1"/>
  <c r="T51" i="1"/>
  <c r="T49" i="1"/>
  <c r="T50" i="1"/>
  <c r="T48" i="1"/>
  <c r="T47" i="1"/>
  <c r="P50" i="1"/>
  <c r="P55" i="1" s="1"/>
  <c r="P48" i="1"/>
  <c r="P47" i="1"/>
  <c r="Q33" i="1"/>
  <c r="Q28" i="1"/>
  <c r="Q26" i="1"/>
  <c r="Q25" i="1"/>
  <c r="Q22" i="1"/>
  <c r="Q21" i="1"/>
  <c r="Q19" i="1"/>
  <c r="G20" i="4" l="1"/>
  <c r="U33" i="1"/>
  <c r="T55" i="1"/>
</calcChain>
</file>

<file path=xl/sharedStrings.xml><?xml version="1.0" encoding="utf-8"?>
<sst xmlns="http://schemas.openxmlformats.org/spreadsheetml/2006/main" count="1178" uniqueCount="119">
  <si>
    <t>מספר</t>
  </si>
  <si>
    <t>צורה</t>
  </si>
  <si>
    <t>רקע</t>
  </si>
  <si>
    <t>זווית</t>
  </si>
  <si>
    <t xml:space="preserve">צורה </t>
  </si>
  <si>
    <t>A</t>
  </si>
  <si>
    <t>B</t>
  </si>
  <si>
    <t>C</t>
  </si>
  <si>
    <t>D</t>
  </si>
  <si>
    <t>Aa</t>
  </si>
  <si>
    <t>Bb</t>
  </si>
  <si>
    <t>Cc</t>
  </si>
  <si>
    <t>Dd</t>
  </si>
  <si>
    <t>a</t>
  </si>
  <si>
    <t>b</t>
  </si>
  <si>
    <t>c</t>
  </si>
  <si>
    <t>d</t>
  </si>
  <si>
    <t>הכי קל</t>
  </si>
  <si>
    <t>קל/בינוני</t>
  </si>
  <si>
    <t>בינוני</t>
  </si>
  <si>
    <t>בינוני/קשה</t>
  </si>
  <si>
    <t>ABCD</t>
  </si>
  <si>
    <t>כל סוג יכול להיות באחת מ4 צורות</t>
  </si>
  <si>
    <t>ניתן לסמן חוק בעזרת שתי אותיות</t>
  </si>
  <si>
    <t>AB,AC,AD,BC,BD,CD</t>
  </si>
  <si>
    <t>יש לי 4 סוגים של "תכונות"</t>
  </si>
  <si>
    <t>(סך הכל 6 חוקים)</t>
  </si>
  <si>
    <t>כאשר פעיל חוק XY לתשובה הנכונה יש אפשרות קלה (זהות מושלמת) 2 עם 3 ק' זהים ו1 עם 2ק' זהים</t>
  </si>
  <si>
    <t>תשובה נכונה אפשרית</t>
  </si>
  <si>
    <t>תשובות לא נכונות</t>
  </si>
  <si>
    <t>ABCD,ABCd, ABcD ,ABcd</t>
  </si>
  <si>
    <t>5-16</t>
  </si>
  <si>
    <t>{12}</t>
  </si>
  <si>
    <t>{4}</t>
  </si>
  <si>
    <t>מתוך זה ממש קל {1}</t>
  </si>
  <si>
    <t>מתוך זה ממש קל {1}, קל {4}</t>
  </si>
  <si>
    <t>נורמלי: {3}</t>
  </si>
  <si>
    <t>נורמלי: {7}</t>
  </si>
  <si>
    <t>חייב להיבחר אם קיים</t>
  </si>
  <si>
    <t>אסור לבחור אם קיים</t>
  </si>
  <si>
    <t>אם בחרת, כמות מינימלית במצב חוסר מזל</t>
  </si>
  <si>
    <t>אם תשובה נכונה</t>
  </si>
  <si>
    <t>אם תשובה לא נכונה</t>
  </si>
  <si>
    <t>(-)</t>
  </si>
  <si>
    <t>ללא פידבק חצאים</t>
  </si>
  <si>
    <t>עם פידבק חצאים</t>
  </si>
  <si>
    <t>אם נכון</t>
  </si>
  <si>
    <t>אם לא נכון</t>
  </si>
  <si>
    <t>אם חצי נכון</t>
  </si>
  <si>
    <t>ממוצע</t>
  </si>
  <si>
    <t>נכון</t>
  </si>
  <si>
    <t>לא נכון</t>
  </si>
  <si>
    <t>סיכויים ללא פידבק חצאים</t>
  </si>
  <si>
    <t>סיכויים פידבק חצאים</t>
  </si>
  <si>
    <t>חצי</t>
  </si>
  <si>
    <t>ממוצע:</t>
  </si>
  <si>
    <t>אם מחזיקים אחד קבוע (לא תואם)</t>
  </si>
  <si>
    <t>האם לשים?</t>
  </si>
  <si>
    <t>אם כן, בחירה בזה או חוסר בחירה בזה היא דבר חכם?</t>
  </si>
  <si>
    <t>*</t>
  </si>
  <si>
    <t>או 2</t>
  </si>
  <si>
    <t>ניקוד</t>
  </si>
  <si>
    <t>כמות תשובות נכונות</t>
  </si>
  <si>
    <t>[כמות הזמן שהנבדק ממשיך לפי אותו החוק]</t>
  </si>
  <si>
    <t>מקובעות</t>
  </si>
  <si>
    <t>*הקלף הראשון ברצף לא נחשב</t>
  </si>
  <si>
    <t>פידבק</t>
  </si>
  <si>
    <t>תמיד חצאים</t>
  </si>
  <si>
    <t>?ציון שונה עבור שלבים שונים?</t>
  </si>
  <si>
    <t>שלב</t>
  </si>
  <si>
    <t>נסיון</t>
  </si>
  <si>
    <t>א</t>
  </si>
  <si>
    <t>ב</t>
  </si>
  <si>
    <t>מסיחא</t>
  </si>
  <si>
    <t>מסיחב</t>
  </si>
  <si>
    <t>מסיחג</t>
  </si>
  <si>
    <t>BD</t>
  </si>
  <si>
    <t>AB</t>
  </si>
  <si>
    <t>AC</t>
  </si>
  <si>
    <t>BC</t>
  </si>
  <si>
    <t>CD</t>
  </si>
  <si>
    <t>ABD</t>
  </si>
  <si>
    <t>AD</t>
  </si>
  <si>
    <t>BCD</t>
  </si>
  <si>
    <t>ACD</t>
  </si>
  <si>
    <t>ABC</t>
  </si>
  <si>
    <t>שיניים</t>
  </si>
  <si>
    <t>אבסטרקט</t>
  </si>
  <si>
    <t>תשובה</t>
  </si>
  <si>
    <t>צעד</t>
  </si>
  <si>
    <t>X</t>
  </si>
  <si>
    <t>V</t>
  </si>
  <si>
    <t>סט/חוק</t>
  </si>
  <si>
    <t>מטרה:</t>
  </si>
  <si>
    <t>ג</t>
  </si>
  <si>
    <t>1.1.1</t>
  </si>
  <si>
    <t>חוק1</t>
  </si>
  <si>
    <t>חוק 2</t>
  </si>
  <si>
    <t>החוק</t>
  </si>
  <si>
    <t>1.2.1</t>
  </si>
  <si>
    <t>להעתיק את כל מספרי הכלפים לרשימה</t>
  </si>
  <si>
    <t>למחוק את הכפלים</t>
  </si>
  <si>
    <t>ליצור את הכלפים</t>
  </si>
  <si>
    <t>מטרה</t>
  </si>
  <si>
    <t>correct</t>
  </si>
  <si>
    <t>חוק 4</t>
  </si>
  <si>
    <t>main</t>
  </si>
  <si>
    <t>2.1.1</t>
  </si>
  <si>
    <t>חוק 5</t>
  </si>
  <si>
    <t>2.3.1</t>
  </si>
  <si>
    <t>חוק 6</t>
  </si>
  <si>
    <t>2.4.3</t>
  </si>
  <si>
    <t>wr_a</t>
  </si>
  <si>
    <t>wr_b</t>
  </si>
  <si>
    <t>wr_c</t>
  </si>
  <si>
    <t>חוק 3</t>
  </si>
  <si>
    <t>חוק3</t>
  </si>
  <si>
    <t>חוק</t>
  </si>
  <si>
    <t>מס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</si>
</sst>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charset val="177"/>
      <scheme val="minor"/>
    </font>
    <font>
      <sz val="11"/>
      <color rgb="FF006100"/>
      <name val="Aptos Narrow"/>
      <family val="2"/>
      <charset val="177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charset val="177"/>
      <scheme val="minor"/>
    </font>
    <font>
      <sz val="12"/>
      <color theme="1"/>
      <name val="Aptos Narrow"/>
      <family val="2"/>
      <charset val="177"/>
      <scheme val="minor"/>
    </font>
    <font>
      <b/>
      <sz val="11"/>
      <color theme="0"/>
      <name val="Aptos Narrow"/>
      <family val="2"/>
      <charset val="177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177"/>
      <scheme val="minor"/>
    </font>
    <font>
      <sz val="11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9" fontId="3" fillId="0" borderId="0" applyFont="0" applyFill="0" applyBorder="0" applyAlignment="0" applyProtection="0"/>
    <xf numFmtId="0" fontId="6" fillId="8" borderId="37" applyNumberFormat="0" applyAlignment="0" applyProtection="0"/>
  </cellStyleXfs>
  <cellXfs count="132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0" xfId="1"/>
    <xf numFmtId="0" fontId="0" fillId="0" borderId="3" xfId="0" applyBorder="1"/>
    <xf numFmtId="0" fontId="0" fillId="0" borderId="4" xfId="0" applyBorder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4" borderId="3" xfId="0" applyFill="1" applyBorder="1"/>
    <xf numFmtId="0" fontId="0" fillId="4" borderId="0" xfId="0" applyFill="1"/>
    <xf numFmtId="0" fontId="0" fillId="4" borderId="0" xfId="0" applyFill="1" applyAlignment="1">
      <alignment horizontal="center" vertical="center"/>
    </xf>
    <xf numFmtId="0" fontId="0" fillId="4" borderId="4" xfId="0" applyFill="1" applyBorder="1"/>
    <xf numFmtId="0" fontId="0" fillId="6" borderId="3" xfId="0" applyFill="1" applyBorder="1"/>
    <xf numFmtId="0" fontId="0" fillId="6" borderId="0" xfId="0" applyFill="1"/>
    <xf numFmtId="0" fontId="0" fillId="6" borderId="0" xfId="0" applyFill="1" applyAlignment="1">
      <alignment horizontal="center" vertical="center"/>
    </xf>
    <xf numFmtId="0" fontId="0" fillId="6" borderId="4" xfId="0" applyFill="1" applyBorder="1"/>
    <xf numFmtId="0" fontId="0" fillId="5" borderId="3" xfId="0" applyFill="1" applyBorder="1"/>
    <xf numFmtId="0" fontId="0" fillId="5" borderId="0" xfId="0" applyFill="1"/>
    <xf numFmtId="0" fontId="0" fillId="5" borderId="0" xfId="0" applyFill="1" applyAlignment="1">
      <alignment horizontal="center" vertical="center"/>
    </xf>
    <xf numFmtId="0" fontId="0" fillId="5" borderId="4" xfId="0" applyFill="1" applyBorder="1"/>
    <xf numFmtId="0" fontId="0" fillId="3" borderId="3" xfId="0" applyFill="1" applyBorder="1"/>
    <xf numFmtId="0" fontId="0" fillId="3" borderId="0" xfId="0" applyFill="1"/>
    <xf numFmtId="0" fontId="0" fillId="3" borderId="0" xfId="0" applyFill="1" applyAlignment="1">
      <alignment horizontal="center" vertical="center"/>
    </xf>
    <xf numFmtId="0" fontId="0" fillId="3" borderId="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6" xfId="0" applyFill="1" applyBorder="1" applyAlignment="1">
      <alignment horizontal="center" vertical="center"/>
    </xf>
    <xf numFmtId="0" fontId="0" fillId="4" borderId="27" xfId="0" applyFill="1" applyBorder="1"/>
    <xf numFmtId="9" fontId="0" fillId="0" borderId="13" xfId="0" applyNumberFormat="1" applyBorder="1" applyAlignment="1">
      <alignment horizontal="center" vertical="center"/>
    </xf>
    <xf numFmtId="9" fontId="0" fillId="0" borderId="9" xfId="0" applyNumberFormat="1" applyBorder="1" applyAlignment="1">
      <alignment horizontal="center" vertical="center"/>
    </xf>
    <xf numFmtId="9" fontId="0" fillId="0" borderId="14" xfId="0" applyNumberFormat="1" applyBorder="1" applyAlignment="1">
      <alignment horizontal="center" vertical="center"/>
    </xf>
    <xf numFmtId="9" fontId="0" fillId="0" borderId="13" xfId="2" applyFont="1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9" fontId="0" fillId="0" borderId="16" xfId="0" applyNumberForma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15" xfId="2" applyFon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1" xfId="2" applyFon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49" fontId="0" fillId="0" borderId="34" xfId="0" applyNumberFormat="1" applyBorder="1"/>
    <xf numFmtId="17" fontId="0" fillId="0" borderId="35" xfId="0" applyNumberFormat="1" applyBorder="1"/>
    <xf numFmtId="0" fontId="0" fillId="0" borderId="36" xfId="0" applyBorder="1"/>
    <xf numFmtId="0" fontId="0" fillId="0" borderId="34" xfId="0" applyBorder="1"/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0" xfId="0" applyAlignment="1">
      <alignment horizontal="right" wrapText="1" readingOrder="2"/>
    </xf>
    <xf numFmtId="0" fontId="0" fillId="9" borderId="0" xfId="0" applyFill="1"/>
    <xf numFmtId="0" fontId="0" fillId="9" borderId="38" xfId="0" applyFill="1" applyBorder="1" applyAlignment="1">
      <alignment wrapText="1"/>
    </xf>
    <xf numFmtId="0" fontId="0" fillId="0" borderId="38" xfId="0" applyBorder="1" applyAlignment="1">
      <alignment wrapText="1"/>
    </xf>
    <xf numFmtId="0" fontId="0" fillId="0" borderId="38" xfId="0" applyBorder="1"/>
    <xf numFmtId="0" fontId="0" fillId="9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8" borderId="37" xfId="3" applyAlignment="1">
      <alignment horizontal="center" vertical="center"/>
    </xf>
    <xf numFmtId="0" fontId="0" fillId="10" borderId="0" xfId="0" applyFill="1"/>
    <xf numFmtId="0" fontId="0" fillId="11" borderId="0" xfId="0" applyFill="1"/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3" xfId="1" applyBorder="1"/>
    <xf numFmtId="0" fontId="1" fillId="2" borderId="0" xfId="1" applyBorder="1"/>
    <xf numFmtId="0" fontId="1" fillId="2" borderId="4" xfId="1" applyBorder="1"/>
    <xf numFmtId="0" fontId="0" fillId="0" borderId="25" xfId="0" applyBorder="1"/>
    <xf numFmtId="0" fontId="0" fillId="0" borderId="27" xfId="0" applyBorder="1"/>
    <xf numFmtId="0" fontId="4" fillId="0" borderId="0" xfId="0" applyFont="1"/>
    <xf numFmtId="0" fontId="4" fillId="0" borderId="26" xfId="0" applyFont="1" applyBorder="1"/>
    <xf numFmtId="0" fontId="7" fillId="0" borderId="5" xfId="0" applyFont="1" applyBorder="1" applyAlignment="1">
      <alignment horizontal="center" vertical="center"/>
    </xf>
    <xf numFmtId="0" fontId="8" fillId="0" borderId="0" xfId="0" applyFont="1"/>
    <xf numFmtId="0" fontId="8" fillId="0" borderId="26" xfId="0" applyFont="1" applyBorder="1"/>
    <xf numFmtId="0" fontId="8" fillId="0" borderId="4" xfId="0" applyFont="1" applyBorder="1"/>
    <xf numFmtId="0" fontId="8" fillId="0" borderId="27" xfId="0" applyFont="1" applyBorder="1"/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0" borderId="4" xfId="0" applyFont="1" applyBorder="1"/>
    <xf numFmtId="0" fontId="0" fillId="13" borderId="0" xfId="0" applyFill="1"/>
    <xf numFmtId="0" fontId="9" fillId="0" borderId="5" xfId="0" applyFont="1" applyBorder="1" applyAlignment="1">
      <alignment horizontal="center" vertical="center"/>
    </xf>
    <xf numFmtId="0" fontId="4" fillId="0" borderId="27" xfId="0" applyFont="1" applyBorder="1"/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26" xfId="0" applyBorder="1"/>
    <xf numFmtId="0" fontId="0" fillId="7" borderId="0" xfId="0" applyFill="1" applyAlignment="1">
      <alignment horizontal="center" vertical="center"/>
    </xf>
    <xf numFmtId="0" fontId="0" fillId="7" borderId="0" xfId="0" applyFill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5" fillId="7" borderId="25" xfId="0" applyFont="1" applyFill="1" applyBorder="1" applyAlignment="1">
      <alignment horizontal="center"/>
    </xf>
    <xf numFmtId="0" fontId="5" fillId="7" borderId="26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4">
    <cellStyle name="Check Cell" xfId="3" builtinId="23"/>
    <cellStyle name="Good" xfId="1" builtinId="2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CF269-0967-464A-AC46-A4D19BAA7E87}">
  <dimension ref="A1:W55"/>
  <sheetViews>
    <sheetView rightToLeft="1" workbookViewId="0"/>
  </sheetViews>
  <sheetFormatPr defaultRowHeight="14.25" x14ac:dyDescent="0.2"/>
  <cols>
    <col min="1" max="1" width="14" customWidth="1"/>
    <col min="2" max="2" width="12" customWidth="1"/>
    <col min="3" max="3" width="7.125" customWidth="1"/>
    <col min="4" max="4" width="11.5" bestFit="1" customWidth="1"/>
    <col min="14" max="14" width="13.5" customWidth="1"/>
    <col min="15" max="15" width="12.625" bestFit="1" customWidth="1"/>
    <col min="16" max="16" width="15.125" customWidth="1"/>
    <col min="17" max="17" width="5.375" bestFit="1" customWidth="1"/>
  </cols>
  <sheetData>
    <row r="1" spans="1:21" ht="85.5" x14ac:dyDescent="0.2">
      <c r="A1" s="3" t="s">
        <v>25</v>
      </c>
      <c r="B1" s="3" t="s">
        <v>21</v>
      </c>
      <c r="C1" s="3" t="s">
        <v>22</v>
      </c>
      <c r="D1" s="3">
        <v>1234</v>
      </c>
      <c r="E1" s="3"/>
      <c r="I1" t="s">
        <v>0</v>
      </c>
      <c r="J1" t="s">
        <v>1</v>
      </c>
      <c r="K1" t="s">
        <v>2</v>
      </c>
      <c r="L1" t="s">
        <v>3</v>
      </c>
      <c r="M1" t="s">
        <v>0</v>
      </c>
      <c r="N1" t="s">
        <v>4</v>
      </c>
      <c r="O1" t="s">
        <v>2</v>
      </c>
      <c r="P1" t="s">
        <v>3</v>
      </c>
    </row>
    <row r="2" spans="1:21" ht="42.75" x14ac:dyDescent="0.2">
      <c r="A2" s="3" t="s">
        <v>23</v>
      </c>
      <c r="B2" s="3" t="s">
        <v>24</v>
      </c>
      <c r="C2" s="3" t="s">
        <v>26</v>
      </c>
      <c r="D2" s="3"/>
      <c r="E2" s="3"/>
      <c r="F2" s="3"/>
      <c r="I2">
        <v>1</v>
      </c>
      <c r="J2">
        <v>1</v>
      </c>
      <c r="K2">
        <v>1</v>
      </c>
      <c r="L2">
        <v>1</v>
      </c>
      <c r="M2" t="s">
        <v>5</v>
      </c>
      <c r="N2" t="s">
        <v>6</v>
      </c>
      <c r="O2" t="s">
        <v>7</v>
      </c>
      <c r="P2" t="s">
        <v>8</v>
      </c>
    </row>
    <row r="3" spans="1:21" x14ac:dyDescent="0.2">
      <c r="A3" s="120" t="s">
        <v>27</v>
      </c>
      <c r="B3" s="120"/>
      <c r="C3" s="120"/>
      <c r="D3" s="120"/>
      <c r="E3" s="2"/>
      <c r="F3" s="2"/>
      <c r="I3">
        <v>2</v>
      </c>
      <c r="J3">
        <v>2</v>
      </c>
      <c r="K3">
        <v>2</v>
      </c>
      <c r="L3">
        <v>2</v>
      </c>
    </row>
    <row r="4" spans="1:21" ht="28.5" x14ac:dyDescent="0.2">
      <c r="A4" s="2" t="s">
        <v>28</v>
      </c>
      <c r="B4" s="2" t="s">
        <v>30</v>
      </c>
      <c r="C4" s="2" t="s">
        <v>33</v>
      </c>
      <c r="D4" s="2" t="s">
        <v>34</v>
      </c>
      <c r="E4" s="2" t="s">
        <v>36</v>
      </c>
      <c r="F4" s="2"/>
      <c r="I4">
        <v>3</v>
      </c>
      <c r="J4">
        <v>3</v>
      </c>
      <c r="K4">
        <v>3</v>
      </c>
      <c r="L4">
        <v>3</v>
      </c>
    </row>
    <row r="5" spans="1:21" ht="28.5" x14ac:dyDescent="0.2">
      <c r="A5" t="s">
        <v>29</v>
      </c>
      <c r="B5" s="1" t="s">
        <v>31</v>
      </c>
      <c r="C5" t="s">
        <v>32</v>
      </c>
      <c r="D5" s="2" t="s">
        <v>35</v>
      </c>
      <c r="E5" t="s">
        <v>37</v>
      </c>
      <c r="I5">
        <v>4</v>
      </c>
      <c r="J5">
        <v>4</v>
      </c>
      <c r="K5">
        <v>4</v>
      </c>
      <c r="L5">
        <v>4</v>
      </c>
    </row>
    <row r="12" spans="1:21" ht="15" thickBot="1" x14ac:dyDescent="0.25"/>
    <row r="13" spans="1:21" ht="15" thickBot="1" x14ac:dyDescent="0.25">
      <c r="O13" s="126" t="s">
        <v>40</v>
      </c>
      <c r="P13" s="127"/>
      <c r="Q13" s="127"/>
      <c r="R13" s="127"/>
      <c r="S13" s="127"/>
      <c r="T13" s="128"/>
    </row>
    <row r="14" spans="1:21" ht="15" thickBot="1" x14ac:dyDescent="0.25">
      <c r="B14" s="121" t="s">
        <v>53</v>
      </c>
      <c r="C14" s="122"/>
      <c r="D14" s="123"/>
      <c r="E14" s="121" t="s">
        <v>52</v>
      </c>
      <c r="F14" s="123"/>
      <c r="G14" t="s">
        <v>3</v>
      </c>
      <c r="H14" t="s">
        <v>2</v>
      </c>
      <c r="I14" t="s">
        <v>1</v>
      </c>
      <c r="J14" t="s">
        <v>0</v>
      </c>
      <c r="O14" s="129" t="s">
        <v>44</v>
      </c>
      <c r="P14" s="130"/>
      <c r="Q14" s="131"/>
      <c r="R14" s="130" t="s">
        <v>45</v>
      </c>
      <c r="S14" s="130"/>
      <c r="T14" s="131"/>
    </row>
    <row r="15" spans="1:21" ht="15" thickBot="1" x14ac:dyDescent="0.25">
      <c r="B15" s="61" t="s">
        <v>50</v>
      </c>
      <c r="C15" s="62" t="s">
        <v>51</v>
      </c>
      <c r="D15" s="63" t="s">
        <v>54</v>
      </c>
      <c r="E15" s="64" t="s">
        <v>50</v>
      </c>
      <c r="F15" s="63" t="s">
        <v>51</v>
      </c>
      <c r="G15" s="24" t="s">
        <v>12</v>
      </c>
      <c r="H15" s="25" t="s">
        <v>11</v>
      </c>
      <c r="I15" s="25" t="s">
        <v>10</v>
      </c>
      <c r="J15" s="25" t="s">
        <v>9</v>
      </c>
      <c r="K15" s="25"/>
      <c r="L15" s="26"/>
      <c r="O15" s="5" t="s">
        <v>41</v>
      </c>
      <c r="P15" s="6" t="s">
        <v>42</v>
      </c>
      <c r="Q15" s="19" t="s">
        <v>49</v>
      </c>
      <c r="R15" t="s">
        <v>46</v>
      </c>
      <c r="S15" t="s">
        <v>48</v>
      </c>
      <c r="T15" s="6" t="s">
        <v>47</v>
      </c>
      <c r="U15" t="s">
        <v>49</v>
      </c>
    </row>
    <row r="16" spans="1:21" ht="15.75" x14ac:dyDescent="0.2">
      <c r="B16" s="56">
        <v>1</v>
      </c>
      <c r="C16" s="57">
        <v>0</v>
      </c>
      <c r="D16" s="58">
        <v>0</v>
      </c>
      <c r="E16" s="59">
        <v>1</v>
      </c>
      <c r="F16" s="60">
        <v>0</v>
      </c>
      <c r="G16" s="27" t="s">
        <v>8</v>
      </c>
      <c r="H16" s="28" t="s">
        <v>7</v>
      </c>
      <c r="I16" s="28" t="s">
        <v>6</v>
      </c>
      <c r="J16" s="28" t="s">
        <v>5</v>
      </c>
      <c r="K16" s="29">
        <v>1</v>
      </c>
      <c r="L16" s="30" t="s">
        <v>17</v>
      </c>
      <c r="N16" s="4" t="s">
        <v>38</v>
      </c>
      <c r="O16" s="8">
        <v>6</v>
      </c>
      <c r="P16" s="10" t="s">
        <v>43</v>
      </c>
      <c r="Q16" s="20">
        <v>6</v>
      </c>
      <c r="R16" s="16">
        <v>6</v>
      </c>
      <c r="S16" s="9" t="s">
        <v>43</v>
      </c>
      <c r="T16" s="10" t="s">
        <v>43</v>
      </c>
      <c r="U16" s="23">
        <v>6</v>
      </c>
    </row>
    <row r="17" spans="2:23" ht="15.75" x14ac:dyDescent="0.2">
      <c r="B17" s="47">
        <v>0.5</v>
      </c>
      <c r="C17" s="48">
        <v>0</v>
      </c>
      <c r="D17" s="49">
        <v>0.5</v>
      </c>
      <c r="E17" s="50">
        <v>0.5</v>
      </c>
      <c r="F17" s="51">
        <v>0.5</v>
      </c>
      <c r="G17" s="31" t="s">
        <v>16</v>
      </c>
      <c r="H17" s="32" t="s">
        <v>7</v>
      </c>
      <c r="I17" s="32" t="s">
        <v>6</v>
      </c>
      <c r="J17" s="32" t="s">
        <v>5</v>
      </c>
      <c r="K17" s="33">
        <v>2</v>
      </c>
      <c r="L17" s="34" t="s">
        <v>20</v>
      </c>
      <c r="O17" s="11">
        <v>3</v>
      </c>
      <c r="P17" s="12">
        <v>3</v>
      </c>
      <c r="Q17" s="21">
        <v>3</v>
      </c>
      <c r="R17" s="17">
        <v>3</v>
      </c>
      <c r="S17" s="7">
        <v>3</v>
      </c>
      <c r="T17" s="12" t="s">
        <v>43</v>
      </c>
      <c r="U17" s="23">
        <v>3</v>
      </c>
      <c r="V17" t="s">
        <v>59</v>
      </c>
      <c r="W17" t="s">
        <v>60</v>
      </c>
    </row>
    <row r="18" spans="2:23" ht="15.75" x14ac:dyDescent="0.2">
      <c r="B18" s="47">
        <v>0.5</v>
      </c>
      <c r="C18" s="48">
        <v>0</v>
      </c>
      <c r="D18" s="49">
        <v>0.5</v>
      </c>
      <c r="E18" s="50">
        <v>0.5</v>
      </c>
      <c r="F18" s="51">
        <v>0.5</v>
      </c>
      <c r="G18" s="31" t="s">
        <v>8</v>
      </c>
      <c r="H18" s="32" t="s">
        <v>15</v>
      </c>
      <c r="I18" s="32" t="s">
        <v>6</v>
      </c>
      <c r="J18" s="32" t="s">
        <v>5</v>
      </c>
      <c r="K18" s="33">
        <v>3</v>
      </c>
      <c r="L18" s="34" t="s">
        <v>20</v>
      </c>
      <c r="O18" s="11">
        <v>3</v>
      </c>
      <c r="P18" s="12">
        <v>3</v>
      </c>
      <c r="Q18" s="21">
        <v>3</v>
      </c>
      <c r="R18" s="17">
        <v>3</v>
      </c>
      <c r="S18" s="7">
        <v>3</v>
      </c>
      <c r="T18" s="12" t="s">
        <v>43</v>
      </c>
      <c r="U18" s="23">
        <v>3</v>
      </c>
      <c r="V18" t="s">
        <v>59</v>
      </c>
      <c r="W18" t="s">
        <v>60</v>
      </c>
    </row>
    <row r="19" spans="2:23" ht="15.75" x14ac:dyDescent="0.2">
      <c r="B19" s="47">
        <v>0.2</v>
      </c>
      <c r="C19" s="48">
        <v>0.2</v>
      </c>
      <c r="D19" s="51">
        <v>0.6</v>
      </c>
      <c r="E19" s="50">
        <v>0.2</v>
      </c>
      <c r="F19" s="51">
        <v>0.8</v>
      </c>
      <c r="G19" s="35" t="s">
        <v>16</v>
      </c>
      <c r="H19" s="36" t="s">
        <v>15</v>
      </c>
      <c r="I19" s="36" t="s">
        <v>6</v>
      </c>
      <c r="J19" s="36" t="s">
        <v>5</v>
      </c>
      <c r="K19" s="37">
        <v>4</v>
      </c>
      <c r="L19" s="38" t="s">
        <v>19</v>
      </c>
      <c r="O19" s="11">
        <v>0</v>
      </c>
      <c r="P19" s="12">
        <v>5</v>
      </c>
      <c r="Q19" s="21">
        <f>P19*F19</f>
        <v>4</v>
      </c>
      <c r="R19" s="17">
        <v>0</v>
      </c>
      <c r="S19" s="7">
        <v>4</v>
      </c>
      <c r="T19" s="12">
        <v>0</v>
      </c>
      <c r="U19" s="23">
        <f>T19*C19+S19*D19+R19*B19</f>
        <v>2.4</v>
      </c>
    </row>
    <row r="20" spans="2:23" ht="15.75" x14ac:dyDescent="0.2">
      <c r="B20" s="47">
        <v>0.5</v>
      </c>
      <c r="C20" s="48">
        <v>0</v>
      </c>
      <c r="D20" s="49">
        <v>0.5</v>
      </c>
      <c r="E20" s="50">
        <v>0.5</v>
      </c>
      <c r="F20" s="51">
        <v>0.5</v>
      </c>
      <c r="G20" s="31" t="s">
        <v>8</v>
      </c>
      <c r="H20" s="32" t="s">
        <v>7</v>
      </c>
      <c r="I20" s="32" t="s">
        <v>14</v>
      </c>
      <c r="J20" s="32" t="s">
        <v>5</v>
      </c>
      <c r="K20" s="33">
        <v>5</v>
      </c>
      <c r="L20" s="34" t="s">
        <v>20</v>
      </c>
      <c r="O20" s="11">
        <v>3</v>
      </c>
      <c r="P20" s="12">
        <v>3</v>
      </c>
      <c r="Q20" s="21">
        <v>3</v>
      </c>
      <c r="R20" s="17">
        <v>3</v>
      </c>
      <c r="S20" s="7">
        <v>3</v>
      </c>
      <c r="T20" s="12" t="s">
        <v>43</v>
      </c>
      <c r="U20" s="23">
        <v>3</v>
      </c>
      <c r="V20" t="s">
        <v>59</v>
      </c>
      <c r="W20" t="s">
        <v>60</v>
      </c>
    </row>
    <row r="21" spans="2:23" ht="15.75" x14ac:dyDescent="0.2">
      <c r="B21" s="47">
        <v>0.2</v>
      </c>
      <c r="C21" s="48">
        <v>0.2</v>
      </c>
      <c r="D21" s="51">
        <v>0.6</v>
      </c>
      <c r="E21" s="50">
        <v>0.2</v>
      </c>
      <c r="F21" s="51">
        <v>0.8</v>
      </c>
      <c r="G21" s="35" t="s">
        <v>16</v>
      </c>
      <c r="H21" s="36" t="s">
        <v>7</v>
      </c>
      <c r="I21" s="36" t="s">
        <v>14</v>
      </c>
      <c r="J21" s="36" t="s">
        <v>5</v>
      </c>
      <c r="K21" s="37">
        <v>6</v>
      </c>
      <c r="L21" s="38" t="s">
        <v>19</v>
      </c>
      <c r="O21" s="11">
        <v>0</v>
      </c>
      <c r="P21" s="12">
        <v>5</v>
      </c>
      <c r="Q21" s="21">
        <f>P21*F21</f>
        <v>4</v>
      </c>
      <c r="R21" s="17">
        <v>0</v>
      </c>
      <c r="S21" s="7">
        <v>4</v>
      </c>
      <c r="T21" s="12">
        <v>0</v>
      </c>
      <c r="U21" s="23">
        <f>T21*C21+S21*D21+R21*B21</f>
        <v>2.4</v>
      </c>
    </row>
    <row r="22" spans="2:23" ht="15.75" x14ac:dyDescent="0.2">
      <c r="B22" s="47">
        <v>0.2</v>
      </c>
      <c r="C22" s="48">
        <v>0.2</v>
      </c>
      <c r="D22" s="51">
        <v>0.6</v>
      </c>
      <c r="E22" s="50">
        <v>0.2</v>
      </c>
      <c r="F22" s="51">
        <v>0.8</v>
      </c>
      <c r="G22" s="35" t="s">
        <v>8</v>
      </c>
      <c r="H22" s="36" t="s">
        <v>15</v>
      </c>
      <c r="I22" s="36" t="s">
        <v>14</v>
      </c>
      <c r="J22" s="36" t="s">
        <v>5</v>
      </c>
      <c r="K22" s="37">
        <v>7</v>
      </c>
      <c r="L22" s="38" t="s">
        <v>19</v>
      </c>
      <c r="O22" s="11">
        <v>0</v>
      </c>
      <c r="P22" s="12">
        <v>5</v>
      </c>
      <c r="Q22" s="21">
        <f>P22*F22</f>
        <v>4</v>
      </c>
      <c r="R22" s="17">
        <v>0</v>
      </c>
      <c r="S22" s="7">
        <v>4</v>
      </c>
      <c r="T22" s="12">
        <v>0</v>
      </c>
      <c r="U22" s="23">
        <f>T22*C22+S22*D22+R22*B22</f>
        <v>2.4</v>
      </c>
    </row>
    <row r="23" spans="2:23" ht="15.75" x14ac:dyDescent="0.2">
      <c r="B23" s="47">
        <v>0</v>
      </c>
      <c r="C23" s="48">
        <v>0.5</v>
      </c>
      <c r="D23" s="51">
        <v>0.5</v>
      </c>
      <c r="E23" s="50">
        <v>0</v>
      </c>
      <c r="F23" s="51">
        <v>1</v>
      </c>
      <c r="G23" s="39" t="s">
        <v>16</v>
      </c>
      <c r="H23" s="40" t="s">
        <v>15</v>
      </c>
      <c r="I23" s="40" t="s">
        <v>14</v>
      </c>
      <c r="J23" s="40" t="s">
        <v>5</v>
      </c>
      <c r="K23" s="41">
        <v>8</v>
      </c>
      <c r="L23" s="42" t="s">
        <v>18</v>
      </c>
      <c r="O23" s="11" t="s">
        <v>43</v>
      </c>
      <c r="P23" s="12">
        <v>6</v>
      </c>
      <c r="Q23" s="21">
        <v>6</v>
      </c>
      <c r="R23" s="17" t="s">
        <v>43</v>
      </c>
      <c r="S23" s="7">
        <v>3</v>
      </c>
      <c r="T23" s="12">
        <v>3</v>
      </c>
      <c r="U23" s="23">
        <v>3</v>
      </c>
      <c r="V23" t="s">
        <v>59</v>
      </c>
      <c r="W23" t="s">
        <v>60</v>
      </c>
    </row>
    <row r="24" spans="2:23" ht="15.75" x14ac:dyDescent="0.2">
      <c r="B24" s="47">
        <v>0.5</v>
      </c>
      <c r="C24" s="48">
        <v>0</v>
      </c>
      <c r="D24" s="49">
        <v>0.5</v>
      </c>
      <c r="E24" s="50">
        <v>0.5</v>
      </c>
      <c r="F24" s="51">
        <v>0.5</v>
      </c>
      <c r="G24" s="31" t="s">
        <v>8</v>
      </c>
      <c r="H24" s="32" t="s">
        <v>7</v>
      </c>
      <c r="I24" s="32" t="s">
        <v>6</v>
      </c>
      <c r="J24" s="32" t="s">
        <v>13</v>
      </c>
      <c r="K24" s="33">
        <v>9</v>
      </c>
      <c r="L24" s="34" t="s">
        <v>20</v>
      </c>
      <c r="O24" s="11">
        <v>3</v>
      </c>
      <c r="P24" s="12">
        <v>3</v>
      </c>
      <c r="Q24" s="21">
        <v>3</v>
      </c>
      <c r="R24" s="17">
        <v>3</v>
      </c>
      <c r="S24" s="7">
        <v>3</v>
      </c>
      <c r="T24" s="12" t="s">
        <v>43</v>
      </c>
      <c r="U24" s="23">
        <v>3</v>
      </c>
      <c r="V24" t="s">
        <v>59</v>
      </c>
      <c r="W24" t="s">
        <v>60</v>
      </c>
    </row>
    <row r="25" spans="2:23" ht="15.75" x14ac:dyDescent="0.2">
      <c r="B25" s="47">
        <v>0.2</v>
      </c>
      <c r="C25" s="48">
        <v>0.2</v>
      </c>
      <c r="D25" s="51">
        <v>0.6</v>
      </c>
      <c r="E25" s="50">
        <v>0.2</v>
      </c>
      <c r="F25" s="51">
        <v>0.8</v>
      </c>
      <c r="G25" s="35" t="s">
        <v>16</v>
      </c>
      <c r="H25" s="36" t="s">
        <v>7</v>
      </c>
      <c r="I25" s="36" t="s">
        <v>6</v>
      </c>
      <c r="J25" s="36" t="s">
        <v>13</v>
      </c>
      <c r="K25" s="37">
        <v>10</v>
      </c>
      <c r="L25" s="38" t="s">
        <v>19</v>
      </c>
      <c r="O25" s="11">
        <v>0</v>
      </c>
      <c r="P25" s="12">
        <v>5</v>
      </c>
      <c r="Q25" s="21">
        <f>P25*F25</f>
        <v>4</v>
      </c>
      <c r="R25" s="17">
        <v>0</v>
      </c>
      <c r="S25" s="7">
        <v>4</v>
      </c>
      <c r="T25" s="12">
        <v>0</v>
      </c>
      <c r="U25" s="23">
        <f>T25*C25+S25*D25+R25*B25</f>
        <v>2.4</v>
      </c>
    </row>
    <row r="26" spans="2:23" ht="15.75" x14ac:dyDescent="0.2">
      <c r="B26" s="47">
        <v>0.2</v>
      </c>
      <c r="C26" s="48">
        <v>0.2</v>
      </c>
      <c r="D26" s="51">
        <v>0.6</v>
      </c>
      <c r="E26" s="50">
        <v>0.2</v>
      </c>
      <c r="F26" s="51">
        <v>0.8</v>
      </c>
      <c r="G26" s="35" t="s">
        <v>8</v>
      </c>
      <c r="H26" s="36" t="s">
        <v>15</v>
      </c>
      <c r="I26" s="36" t="s">
        <v>6</v>
      </c>
      <c r="J26" s="36" t="s">
        <v>13</v>
      </c>
      <c r="K26" s="37">
        <v>11</v>
      </c>
      <c r="L26" s="38" t="s">
        <v>19</v>
      </c>
      <c r="O26" s="11">
        <v>0</v>
      </c>
      <c r="P26" s="12">
        <v>5</v>
      </c>
      <c r="Q26" s="21">
        <f>P26*F26</f>
        <v>4</v>
      </c>
      <c r="R26" s="17">
        <v>0</v>
      </c>
      <c r="S26" s="7">
        <v>4</v>
      </c>
      <c r="T26" s="12">
        <v>0</v>
      </c>
      <c r="U26" s="23">
        <f>T26*C26+S26*D26+R26*B26</f>
        <v>2.4</v>
      </c>
    </row>
    <row r="27" spans="2:23" ht="15.75" x14ac:dyDescent="0.2">
      <c r="B27" s="47">
        <v>0</v>
      </c>
      <c r="C27" s="48">
        <v>0.5</v>
      </c>
      <c r="D27" s="51">
        <v>0.5</v>
      </c>
      <c r="E27" s="50">
        <v>0</v>
      </c>
      <c r="F27" s="51">
        <v>1</v>
      </c>
      <c r="G27" s="39" t="s">
        <v>16</v>
      </c>
      <c r="H27" s="40" t="s">
        <v>15</v>
      </c>
      <c r="I27" s="40" t="s">
        <v>6</v>
      </c>
      <c r="J27" s="40" t="s">
        <v>13</v>
      </c>
      <c r="K27" s="41">
        <v>12</v>
      </c>
      <c r="L27" s="42" t="s">
        <v>18</v>
      </c>
      <c r="O27" s="11" t="s">
        <v>43</v>
      </c>
      <c r="P27" s="12">
        <v>6</v>
      </c>
      <c r="Q27" s="21">
        <v>6</v>
      </c>
      <c r="R27" s="17" t="s">
        <v>43</v>
      </c>
      <c r="S27" s="7">
        <v>3</v>
      </c>
      <c r="T27" s="12">
        <v>3</v>
      </c>
      <c r="U27" s="23">
        <v>3</v>
      </c>
      <c r="V27" t="s">
        <v>59</v>
      </c>
      <c r="W27" t="s">
        <v>60</v>
      </c>
    </row>
    <row r="28" spans="2:23" ht="15.75" x14ac:dyDescent="0.2">
      <c r="B28" s="47">
        <v>0.2</v>
      </c>
      <c r="C28" s="48">
        <v>0.2</v>
      </c>
      <c r="D28" s="51">
        <v>0.6</v>
      </c>
      <c r="E28" s="50">
        <v>0.2</v>
      </c>
      <c r="F28" s="51">
        <v>0.8</v>
      </c>
      <c r="G28" s="35" t="s">
        <v>8</v>
      </c>
      <c r="H28" s="36" t="s">
        <v>7</v>
      </c>
      <c r="I28" s="36" t="s">
        <v>14</v>
      </c>
      <c r="J28" s="36" t="s">
        <v>13</v>
      </c>
      <c r="K28" s="37">
        <v>13</v>
      </c>
      <c r="L28" s="38" t="s">
        <v>19</v>
      </c>
      <c r="O28" s="11">
        <v>0</v>
      </c>
      <c r="P28" s="12">
        <v>5</v>
      </c>
      <c r="Q28" s="21">
        <f>P28*F28</f>
        <v>4</v>
      </c>
      <c r="R28" s="17">
        <v>0</v>
      </c>
      <c r="S28" s="7">
        <v>4</v>
      </c>
      <c r="T28" s="12">
        <v>0</v>
      </c>
      <c r="U28" s="23">
        <f>T28*C28+S28*D28+R28*B28</f>
        <v>2.4</v>
      </c>
    </row>
    <row r="29" spans="2:23" ht="15.75" x14ac:dyDescent="0.2">
      <c r="B29" s="47">
        <v>0</v>
      </c>
      <c r="C29" s="48">
        <v>0.5</v>
      </c>
      <c r="D29" s="51">
        <v>0.5</v>
      </c>
      <c r="E29" s="50">
        <v>0</v>
      </c>
      <c r="F29" s="51">
        <v>1</v>
      </c>
      <c r="G29" s="39" t="s">
        <v>16</v>
      </c>
      <c r="H29" s="40" t="s">
        <v>7</v>
      </c>
      <c r="I29" s="40" t="s">
        <v>14</v>
      </c>
      <c r="J29" s="40" t="s">
        <v>13</v>
      </c>
      <c r="K29" s="41">
        <v>14</v>
      </c>
      <c r="L29" s="42" t="s">
        <v>18</v>
      </c>
      <c r="O29" s="11" t="s">
        <v>43</v>
      </c>
      <c r="P29" s="12">
        <v>6</v>
      </c>
      <c r="Q29" s="21">
        <v>6</v>
      </c>
      <c r="R29" s="17" t="s">
        <v>43</v>
      </c>
      <c r="S29" s="7">
        <v>3</v>
      </c>
      <c r="T29" s="12">
        <v>3</v>
      </c>
      <c r="U29" s="23">
        <v>3</v>
      </c>
      <c r="V29" t="s">
        <v>59</v>
      </c>
      <c r="W29" t="s">
        <v>60</v>
      </c>
    </row>
    <row r="30" spans="2:23" ht="15.75" x14ac:dyDescent="0.2">
      <c r="B30" s="47">
        <v>0</v>
      </c>
      <c r="C30" s="48">
        <v>0.5</v>
      </c>
      <c r="D30" s="51">
        <v>0.5</v>
      </c>
      <c r="E30" s="50">
        <v>0</v>
      </c>
      <c r="F30" s="51">
        <v>1</v>
      </c>
      <c r="G30" s="39" t="s">
        <v>8</v>
      </c>
      <c r="H30" s="40" t="s">
        <v>15</v>
      </c>
      <c r="I30" s="40" t="s">
        <v>14</v>
      </c>
      <c r="J30" s="40" t="s">
        <v>13</v>
      </c>
      <c r="K30" s="41">
        <v>15</v>
      </c>
      <c r="L30" s="42" t="s">
        <v>18</v>
      </c>
      <c r="O30" s="11" t="s">
        <v>43</v>
      </c>
      <c r="P30" s="12">
        <v>6</v>
      </c>
      <c r="Q30" s="21">
        <v>6</v>
      </c>
      <c r="R30" s="17" t="s">
        <v>43</v>
      </c>
      <c r="S30" s="7">
        <v>3</v>
      </c>
      <c r="T30" s="12">
        <v>3</v>
      </c>
      <c r="U30" s="23">
        <v>3</v>
      </c>
      <c r="V30" t="s">
        <v>59</v>
      </c>
      <c r="W30" t="s">
        <v>60</v>
      </c>
    </row>
    <row r="31" spans="2:23" ht="16.5" thickBot="1" x14ac:dyDescent="0.25">
      <c r="B31" s="52">
        <v>0</v>
      </c>
      <c r="C31" s="53">
        <v>1</v>
      </c>
      <c r="D31" s="54">
        <v>0</v>
      </c>
      <c r="E31" s="55">
        <v>0</v>
      </c>
      <c r="F31" s="54">
        <v>1</v>
      </c>
      <c r="G31" s="43" t="s">
        <v>16</v>
      </c>
      <c r="H31" s="44" t="s">
        <v>15</v>
      </c>
      <c r="I31" s="44" t="s">
        <v>14</v>
      </c>
      <c r="J31" s="44" t="s">
        <v>13</v>
      </c>
      <c r="K31" s="45">
        <v>16</v>
      </c>
      <c r="L31" s="46" t="s">
        <v>17</v>
      </c>
      <c r="N31" s="4" t="s">
        <v>39</v>
      </c>
      <c r="O31" s="13" t="s">
        <v>43</v>
      </c>
      <c r="P31" s="15">
        <v>6</v>
      </c>
      <c r="Q31" s="22">
        <v>6</v>
      </c>
      <c r="R31" s="18" t="s">
        <v>43</v>
      </c>
      <c r="S31" s="14" t="s">
        <v>43</v>
      </c>
      <c r="T31" s="15">
        <v>6</v>
      </c>
      <c r="U31" s="23">
        <v>6</v>
      </c>
    </row>
    <row r="33" spans="2:23" x14ac:dyDescent="0.2">
      <c r="O33" s="23" t="s">
        <v>55</v>
      </c>
      <c r="Q33">
        <f>AVERAGE(Q16:Q31)</f>
        <v>4.5</v>
      </c>
      <c r="U33">
        <f>AVERAGE(U16:U31)</f>
        <v>3.1499999999999995</v>
      </c>
    </row>
    <row r="34" spans="2:23" ht="15" thickBot="1" x14ac:dyDescent="0.25"/>
    <row r="35" spans="2:23" ht="15.75" thickBot="1" x14ac:dyDescent="0.25">
      <c r="B35" s="124" t="s">
        <v>56</v>
      </c>
      <c r="C35" s="125"/>
      <c r="D35" s="125"/>
      <c r="N35" s="126" t="s">
        <v>40</v>
      </c>
      <c r="O35" s="127"/>
      <c r="P35" s="127"/>
      <c r="Q35" s="127"/>
      <c r="R35" s="127"/>
      <c r="S35" s="128"/>
    </row>
    <row r="36" spans="2:23" ht="15" thickBot="1" x14ac:dyDescent="0.25">
      <c r="B36" s="121" t="s">
        <v>53</v>
      </c>
      <c r="C36" s="122"/>
      <c r="D36" s="123"/>
      <c r="E36" s="121" t="s">
        <v>52</v>
      </c>
      <c r="F36" s="123"/>
      <c r="N36" s="129" t="s">
        <v>44</v>
      </c>
      <c r="O36" s="130"/>
      <c r="P36" s="131"/>
      <c r="Q36" s="130" t="s">
        <v>45</v>
      </c>
      <c r="R36" s="130"/>
      <c r="S36" s="131"/>
    </row>
    <row r="37" spans="2:23" ht="15" thickBot="1" x14ac:dyDescent="0.25">
      <c r="B37" s="61" t="s">
        <v>50</v>
      </c>
      <c r="C37" s="62" t="s">
        <v>54</v>
      </c>
      <c r="D37" s="63" t="s">
        <v>51</v>
      </c>
      <c r="E37" s="64" t="s">
        <v>50</v>
      </c>
      <c r="F37" s="63" t="s">
        <v>51</v>
      </c>
      <c r="G37" s="24" t="s">
        <v>12</v>
      </c>
      <c r="H37" s="25" t="s">
        <v>11</v>
      </c>
      <c r="I37" s="25" t="s">
        <v>10</v>
      </c>
      <c r="J37" s="25" t="s">
        <v>9</v>
      </c>
      <c r="K37" s="25"/>
      <c r="L37" s="26"/>
      <c r="N37" s="5" t="s">
        <v>41</v>
      </c>
      <c r="O37" s="6" t="s">
        <v>42</v>
      </c>
      <c r="P37" s="19" t="s">
        <v>49</v>
      </c>
      <c r="Q37" t="s">
        <v>46</v>
      </c>
      <c r="R37" t="s">
        <v>48</v>
      </c>
      <c r="S37" s="6" t="s">
        <v>47</v>
      </c>
      <c r="T37" t="s">
        <v>49</v>
      </c>
    </row>
    <row r="38" spans="2:23" ht="15.75" x14ac:dyDescent="0.2">
      <c r="B38" s="56"/>
      <c r="C38" s="57"/>
      <c r="D38" s="48"/>
      <c r="E38" s="59"/>
      <c r="F38" s="60"/>
      <c r="G38" s="65" t="s">
        <v>8</v>
      </c>
      <c r="H38" s="29" t="s">
        <v>7</v>
      </c>
      <c r="I38" s="29" t="s">
        <v>6</v>
      </c>
      <c r="J38" s="29" t="s">
        <v>5</v>
      </c>
      <c r="K38" s="29">
        <v>1</v>
      </c>
      <c r="L38" s="66" t="s">
        <v>17</v>
      </c>
      <c r="N38" s="8"/>
      <c r="O38" s="10"/>
      <c r="P38" s="20"/>
      <c r="Q38" s="16"/>
      <c r="R38" s="9"/>
      <c r="S38" s="10"/>
      <c r="T38" s="23"/>
    </row>
    <row r="39" spans="2:23" ht="15.75" x14ac:dyDescent="0.2">
      <c r="B39" s="47"/>
      <c r="C39" s="48"/>
      <c r="D39" s="48"/>
      <c r="E39" s="50"/>
      <c r="F39" s="51"/>
      <c r="G39" s="67" t="s">
        <v>16</v>
      </c>
      <c r="H39" s="33" t="s">
        <v>7</v>
      </c>
      <c r="I39" s="33" t="s">
        <v>6</v>
      </c>
      <c r="J39" s="33" t="s">
        <v>5</v>
      </c>
      <c r="K39" s="33">
        <v>2</v>
      </c>
      <c r="L39" s="68" t="s">
        <v>20</v>
      </c>
      <c r="N39" s="11"/>
      <c r="O39" s="12"/>
      <c r="P39" s="21"/>
      <c r="Q39" s="17"/>
      <c r="R39" s="7"/>
      <c r="S39" s="12"/>
      <c r="T39" s="23"/>
    </row>
    <row r="40" spans="2:23" ht="15.75" x14ac:dyDescent="0.2">
      <c r="B40" s="47"/>
      <c r="C40" s="48"/>
      <c r="D40" s="48"/>
      <c r="E40" s="50"/>
      <c r="F40" s="51"/>
      <c r="G40" s="67" t="s">
        <v>8</v>
      </c>
      <c r="H40" s="33" t="s">
        <v>15</v>
      </c>
      <c r="I40" s="33" t="s">
        <v>6</v>
      </c>
      <c r="J40" s="33" t="s">
        <v>5</v>
      </c>
      <c r="K40" s="33">
        <v>3</v>
      </c>
      <c r="L40" s="68" t="s">
        <v>20</v>
      </c>
      <c r="N40" s="11"/>
      <c r="O40" s="12"/>
      <c r="P40" s="21"/>
      <c r="Q40" s="17"/>
      <c r="R40" s="7"/>
      <c r="S40" s="12"/>
      <c r="T40" s="23"/>
    </row>
    <row r="41" spans="2:23" ht="15.75" x14ac:dyDescent="0.2">
      <c r="B41" s="47"/>
      <c r="C41" s="48"/>
      <c r="D41" s="48"/>
      <c r="E41" s="50"/>
      <c r="F41" s="51"/>
      <c r="G41" s="69" t="s">
        <v>16</v>
      </c>
      <c r="H41" s="37" t="s">
        <v>15</v>
      </c>
      <c r="I41" s="37" t="s">
        <v>6</v>
      </c>
      <c r="J41" s="37" t="s">
        <v>5</v>
      </c>
      <c r="K41" s="37">
        <v>4</v>
      </c>
      <c r="L41" s="70" t="s">
        <v>19</v>
      </c>
      <c r="N41" s="11"/>
      <c r="O41" s="12"/>
      <c r="P41" s="21"/>
      <c r="Q41" s="17"/>
      <c r="R41" s="7"/>
      <c r="S41" s="12"/>
      <c r="T41" s="23"/>
    </row>
    <row r="42" spans="2:23" ht="15.75" x14ac:dyDescent="0.2">
      <c r="B42" s="47"/>
      <c r="C42" s="48"/>
      <c r="D42" s="48"/>
      <c r="E42" s="50"/>
      <c r="F42" s="51"/>
      <c r="G42" s="67" t="s">
        <v>8</v>
      </c>
      <c r="H42" s="33" t="s">
        <v>7</v>
      </c>
      <c r="I42" s="33" t="s">
        <v>14</v>
      </c>
      <c r="J42" s="33" t="s">
        <v>5</v>
      </c>
      <c r="K42" s="33">
        <v>5</v>
      </c>
      <c r="L42" s="68" t="s">
        <v>20</v>
      </c>
      <c r="N42" s="11"/>
      <c r="O42" s="12"/>
      <c r="P42" s="21"/>
      <c r="Q42" s="17"/>
      <c r="R42" s="7"/>
      <c r="S42" s="12"/>
      <c r="T42" s="23"/>
    </row>
    <row r="43" spans="2:23" ht="15.75" x14ac:dyDescent="0.2">
      <c r="B43" s="47"/>
      <c r="C43" s="48"/>
      <c r="D43" s="48"/>
      <c r="E43" s="50"/>
      <c r="F43" s="51"/>
      <c r="G43" s="69" t="s">
        <v>16</v>
      </c>
      <c r="H43" s="37" t="s">
        <v>7</v>
      </c>
      <c r="I43" s="37" t="s">
        <v>14</v>
      </c>
      <c r="J43" s="37" t="s">
        <v>5</v>
      </c>
      <c r="K43" s="37">
        <v>6</v>
      </c>
      <c r="L43" s="70" t="s">
        <v>19</v>
      </c>
      <c r="N43" s="11"/>
      <c r="O43" s="12"/>
      <c r="P43" s="21"/>
      <c r="Q43" s="17"/>
      <c r="R43" s="7"/>
      <c r="S43" s="12"/>
      <c r="T43" s="23"/>
    </row>
    <row r="44" spans="2:23" ht="15.75" x14ac:dyDescent="0.2">
      <c r="B44" s="47"/>
      <c r="C44" s="48"/>
      <c r="D44" s="48"/>
      <c r="E44" s="50"/>
      <c r="F44" s="51"/>
      <c r="G44" s="69" t="s">
        <v>8</v>
      </c>
      <c r="H44" s="37" t="s">
        <v>15</v>
      </c>
      <c r="I44" s="37" t="s">
        <v>14</v>
      </c>
      <c r="J44" s="37" t="s">
        <v>5</v>
      </c>
      <c r="K44" s="37">
        <v>7</v>
      </c>
      <c r="L44" s="70" t="s">
        <v>19</v>
      </c>
      <c r="N44" s="11"/>
      <c r="O44" s="12"/>
      <c r="P44" s="21"/>
      <c r="Q44" s="17"/>
      <c r="R44" s="7"/>
      <c r="S44" s="12"/>
      <c r="T44" s="23"/>
    </row>
    <row r="45" spans="2:23" ht="16.5" thickBot="1" x14ac:dyDescent="0.25">
      <c r="B45" s="47"/>
      <c r="C45" s="48"/>
      <c r="D45" s="53"/>
      <c r="E45" s="50"/>
      <c r="F45" s="51"/>
      <c r="G45" s="71" t="s">
        <v>16</v>
      </c>
      <c r="H45" s="41" t="s">
        <v>15</v>
      </c>
      <c r="I45" s="41" t="s">
        <v>14</v>
      </c>
      <c r="J45" s="41" t="s">
        <v>5</v>
      </c>
      <c r="K45" s="41">
        <v>8</v>
      </c>
      <c r="L45" s="72" t="s">
        <v>18</v>
      </c>
      <c r="N45" s="11"/>
      <c r="O45" s="12"/>
      <c r="P45" s="21"/>
      <c r="Q45" s="17"/>
      <c r="R45" s="7"/>
      <c r="S45" s="12"/>
      <c r="T45" s="23"/>
    </row>
    <row r="46" spans="2:23" ht="15.75" x14ac:dyDescent="0.2">
      <c r="B46" s="47">
        <v>1</v>
      </c>
      <c r="C46" s="49">
        <v>0</v>
      </c>
      <c r="D46" s="48">
        <v>0</v>
      </c>
      <c r="E46" s="50">
        <v>1</v>
      </c>
      <c r="F46" s="51">
        <v>0</v>
      </c>
      <c r="G46" s="65" t="s">
        <v>8</v>
      </c>
      <c r="H46" s="29" t="s">
        <v>7</v>
      </c>
      <c r="I46" s="29" t="s">
        <v>6</v>
      </c>
      <c r="J46" s="78" t="s">
        <v>13</v>
      </c>
      <c r="K46" s="29">
        <v>9</v>
      </c>
      <c r="L46" s="66" t="s">
        <v>17</v>
      </c>
      <c r="M46" s="4" t="s">
        <v>38</v>
      </c>
      <c r="N46" s="11">
        <v>3</v>
      </c>
      <c r="O46" s="12" t="s">
        <v>43</v>
      </c>
      <c r="P46" s="21">
        <v>3</v>
      </c>
      <c r="Q46" s="17">
        <v>3</v>
      </c>
      <c r="R46" s="7" t="s">
        <v>43</v>
      </c>
      <c r="S46" s="12" t="s">
        <v>43</v>
      </c>
      <c r="T46" s="23">
        <v>3</v>
      </c>
      <c r="V46" t="s">
        <v>57</v>
      </c>
      <c r="W46" s="23" t="s">
        <v>58</v>
      </c>
    </row>
    <row r="47" spans="2:23" ht="15.75" x14ac:dyDescent="0.2">
      <c r="B47" s="47">
        <v>0.33</v>
      </c>
      <c r="C47" s="51">
        <v>0.66</v>
      </c>
      <c r="D47" s="48">
        <v>0</v>
      </c>
      <c r="E47" s="50">
        <v>0.33</v>
      </c>
      <c r="F47" s="51">
        <v>0.66</v>
      </c>
      <c r="G47" s="69" t="s">
        <v>16</v>
      </c>
      <c r="H47" s="37" t="s">
        <v>7</v>
      </c>
      <c r="I47" s="37" t="s">
        <v>6</v>
      </c>
      <c r="J47" s="73" t="s">
        <v>13</v>
      </c>
      <c r="K47" s="37">
        <v>10</v>
      </c>
      <c r="L47" s="70">
        <v>2</v>
      </c>
      <c r="N47" s="11">
        <v>0</v>
      </c>
      <c r="O47" s="12">
        <v>2</v>
      </c>
      <c r="P47" s="21">
        <f>O47*F47</f>
        <v>1.32</v>
      </c>
      <c r="Q47" s="17">
        <v>0</v>
      </c>
      <c r="R47" s="7">
        <v>2</v>
      </c>
      <c r="S47" s="12" t="s">
        <v>43</v>
      </c>
      <c r="T47" s="23">
        <f>R47*C47+Q47*B47</f>
        <v>1.32</v>
      </c>
    </row>
    <row r="48" spans="2:23" ht="15.75" x14ac:dyDescent="0.2">
      <c r="B48" s="47">
        <v>0.33</v>
      </c>
      <c r="C48" s="51">
        <v>0.66</v>
      </c>
      <c r="D48" s="48">
        <v>0</v>
      </c>
      <c r="E48" s="50">
        <v>0.33</v>
      </c>
      <c r="F48" s="51">
        <v>0.66</v>
      </c>
      <c r="G48" s="69" t="s">
        <v>8</v>
      </c>
      <c r="H48" s="37" t="s">
        <v>15</v>
      </c>
      <c r="I48" s="37" t="s">
        <v>6</v>
      </c>
      <c r="J48" s="73" t="s">
        <v>13</v>
      </c>
      <c r="K48" s="37">
        <v>11</v>
      </c>
      <c r="L48" s="70">
        <v>2</v>
      </c>
      <c r="N48" s="11">
        <v>0</v>
      </c>
      <c r="O48" s="12">
        <v>2</v>
      </c>
      <c r="P48" s="21">
        <f>O48*F48</f>
        <v>1.32</v>
      </c>
      <c r="Q48" s="17">
        <v>0</v>
      </c>
      <c r="R48" s="7">
        <v>2</v>
      </c>
      <c r="S48" s="12" t="s">
        <v>43</v>
      </c>
      <c r="T48" s="23">
        <f>R48*C48+Q48*B48</f>
        <v>1.32</v>
      </c>
    </row>
    <row r="49" spans="2:20" ht="15.75" x14ac:dyDescent="0.2">
      <c r="B49" s="47">
        <v>0</v>
      </c>
      <c r="C49" s="51">
        <v>0.66</v>
      </c>
      <c r="D49" s="48">
        <v>0.33</v>
      </c>
      <c r="E49" s="50">
        <v>0</v>
      </c>
      <c r="F49" s="51">
        <v>1</v>
      </c>
      <c r="G49" s="71" t="s">
        <v>16</v>
      </c>
      <c r="H49" s="41" t="s">
        <v>15</v>
      </c>
      <c r="I49" s="41" t="s">
        <v>6</v>
      </c>
      <c r="J49" s="74" t="s">
        <v>13</v>
      </c>
      <c r="K49" s="41">
        <v>12</v>
      </c>
      <c r="L49" s="72">
        <v>3</v>
      </c>
      <c r="N49" s="11" t="s">
        <v>43</v>
      </c>
      <c r="O49" s="12">
        <v>3</v>
      </c>
      <c r="P49" s="21">
        <v>3</v>
      </c>
      <c r="Q49" s="17" t="s">
        <v>43</v>
      </c>
      <c r="R49" s="7">
        <v>2</v>
      </c>
      <c r="S49" s="12">
        <v>0</v>
      </c>
      <c r="T49" s="23">
        <f>S49*D49+R49*C49</f>
        <v>1.32</v>
      </c>
    </row>
    <row r="50" spans="2:20" ht="15.75" x14ac:dyDescent="0.2">
      <c r="B50" s="47">
        <v>0.33</v>
      </c>
      <c r="C50" s="51">
        <v>0.66</v>
      </c>
      <c r="D50" s="48">
        <v>0</v>
      </c>
      <c r="E50" s="50">
        <v>0.33</v>
      </c>
      <c r="F50" s="51">
        <v>0.66</v>
      </c>
      <c r="G50" s="69" t="s">
        <v>8</v>
      </c>
      <c r="H50" s="37" t="s">
        <v>7</v>
      </c>
      <c r="I50" s="37" t="s">
        <v>14</v>
      </c>
      <c r="J50" s="73" t="s">
        <v>13</v>
      </c>
      <c r="K50" s="37">
        <v>13</v>
      </c>
      <c r="L50" s="70">
        <v>2</v>
      </c>
      <c r="N50" s="11">
        <v>0</v>
      </c>
      <c r="O50" s="12">
        <v>2</v>
      </c>
      <c r="P50" s="21">
        <f>O50*F50</f>
        <v>1.32</v>
      </c>
      <c r="Q50" s="17">
        <v>0</v>
      </c>
      <c r="R50" s="7">
        <v>2</v>
      </c>
      <c r="S50" s="12" t="s">
        <v>43</v>
      </c>
      <c r="T50" s="23">
        <f>R50*C50+Q50*B50</f>
        <v>1.32</v>
      </c>
    </row>
    <row r="51" spans="2:20" ht="15.75" x14ac:dyDescent="0.2">
      <c r="B51" s="47">
        <v>0</v>
      </c>
      <c r="C51" s="51">
        <v>0.66</v>
      </c>
      <c r="D51" s="48">
        <v>0.33</v>
      </c>
      <c r="E51" s="50">
        <v>0</v>
      </c>
      <c r="F51" s="51">
        <v>1</v>
      </c>
      <c r="G51" s="71" t="s">
        <v>16</v>
      </c>
      <c r="H51" s="41" t="s">
        <v>7</v>
      </c>
      <c r="I51" s="41" t="s">
        <v>14</v>
      </c>
      <c r="J51" s="74" t="s">
        <v>13</v>
      </c>
      <c r="K51" s="41">
        <v>14</v>
      </c>
      <c r="L51" s="72">
        <v>3</v>
      </c>
      <c r="N51" s="11" t="s">
        <v>43</v>
      </c>
      <c r="O51" s="12">
        <v>3</v>
      </c>
      <c r="P51" s="21">
        <v>3</v>
      </c>
      <c r="Q51" s="17" t="s">
        <v>43</v>
      </c>
      <c r="R51" s="7">
        <v>2</v>
      </c>
      <c r="S51" s="12">
        <v>0</v>
      </c>
      <c r="T51" s="23">
        <f>S51*D51+R51*C51</f>
        <v>1.32</v>
      </c>
    </row>
    <row r="52" spans="2:20" ht="15.75" x14ac:dyDescent="0.2">
      <c r="B52" s="47">
        <v>0</v>
      </c>
      <c r="C52" s="51">
        <v>0.66</v>
      </c>
      <c r="D52" s="48">
        <v>0.33</v>
      </c>
      <c r="E52" s="50">
        <v>0</v>
      </c>
      <c r="F52" s="51">
        <v>1</v>
      </c>
      <c r="G52" s="71" t="s">
        <v>8</v>
      </c>
      <c r="H52" s="41" t="s">
        <v>15</v>
      </c>
      <c r="I52" s="41" t="s">
        <v>14</v>
      </c>
      <c r="J52" s="74" t="s">
        <v>13</v>
      </c>
      <c r="K52" s="41">
        <v>15</v>
      </c>
      <c r="L52" s="72">
        <v>3</v>
      </c>
      <c r="N52" s="11" t="s">
        <v>43</v>
      </c>
      <c r="O52" s="12">
        <v>3</v>
      </c>
      <c r="P52" s="21">
        <v>3</v>
      </c>
      <c r="Q52" s="17" t="s">
        <v>43</v>
      </c>
      <c r="R52" s="7">
        <v>2</v>
      </c>
      <c r="S52" s="12">
        <v>0</v>
      </c>
      <c r="T52" s="23">
        <f>S52*D52+R52*C52</f>
        <v>1.32</v>
      </c>
    </row>
    <row r="53" spans="2:20" ht="16.5" thickBot="1" x14ac:dyDescent="0.25">
      <c r="B53" s="52">
        <v>0</v>
      </c>
      <c r="C53" s="54">
        <v>0</v>
      </c>
      <c r="D53" s="53">
        <v>1</v>
      </c>
      <c r="E53" s="55">
        <v>0</v>
      </c>
      <c r="F53" s="54">
        <v>1</v>
      </c>
      <c r="G53" s="75" t="s">
        <v>16</v>
      </c>
      <c r="H53" s="45" t="s">
        <v>15</v>
      </c>
      <c r="I53" s="45" t="s">
        <v>14</v>
      </c>
      <c r="J53" s="76" t="s">
        <v>13</v>
      </c>
      <c r="K53" s="45">
        <v>16</v>
      </c>
      <c r="L53" s="77" t="s">
        <v>17</v>
      </c>
      <c r="M53" s="4" t="s">
        <v>39</v>
      </c>
      <c r="N53" s="13" t="s">
        <v>43</v>
      </c>
      <c r="O53" s="15">
        <v>3</v>
      </c>
      <c r="P53" s="22">
        <v>3</v>
      </c>
      <c r="Q53" s="18" t="s">
        <v>43</v>
      </c>
      <c r="R53" s="14" t="s">
        <v>43</v>
      </c>
      <c r="S53" s="15">
        <v>3</v>
      </c>
      <c r="T53" s="23">
        <v>3</v>
      </c>
    </row>
    <row r="55" spans="2:20" x14ac:dyDescent="0.2">
      <c r="N55" s="23" t="s">
        <v>55</v>
      </c>
      <c r="P55">
        <f>AVERAGE(P38:P53)</f>
        <v>2.37</v>
      </c>
      <c r="T55">
        <f>AVERAGE(T38:T53)</f>
        <v>1.7400000000000002</v>
      </c>
    </row>
  </sheetData>
  <mergeCells count="12">
    <mergeCell ref="N35:S35"/>
    <mergeCell ref="N36:P36"/>
    <mergeCell ref="Q36:S36"/>
    <mergeCell ref="R14:T14"/>
    <mergeCell ref="O13:T13"/>
    <mergeCell ref="O14:Q14"/>
    <mergeCell ref="A3:D3"/>
    <mergeCell ref="B14:D14"/>
    <mergeCell ref="B36:D36"/>
    <mergeCell ref="E36:F36"/>
    <mergeCell ref="B35:D35"/>
    <mergeCell ref="E14:F14"/>
  </mergeCells>
  <conditionalFormatting sqref="N38:T53 N55 W4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16:U31 O3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3CC27-1620-4C4F-B74D-02C40ABF0730}">
  <dimension ref="A1:K54"/>
  <sheetViews>
    <sheetView rightToLeft="1" topLeftCell="A4" workbookViewId="0">
      <selection activeCell="B15" sqref="B15"/>
    </sheetView>
  </sheetViews>
  <sheetFormatPr defaultRowHeight="14.25" x14ac:dyDescent="0.2"/>
  <cols>
    <col min="3" max="6" width="9" style="23"/>
    <col min="7" max="7" width="15.25" style="83" bestFit="1" customWidth="1"/>
  </cols>
  <sheetData>
    <row r="1" spans="1:11" x14ac:dyDescent="0.2">
      <c r="A1" t="s">
        <v>69</v>
      </c>
      <c r="B1" t="s">
        <v>70</v>
      </c>
      <c r="C1" s="23" t="s">
        <v>50</v>
      </c>
      <c r="D1" s="23" t="s">
        <v>73</v>
      </c>
      <c r="E1" s="23" t="s">
        <v>74</v>
      </c>
      <c r="F1" s="23" t="s">
        <v>75</v>
      </c>
      <c r="G1" s="81" t="s">
        <v>61</v>
      </c>
      <c r="J1" s="80" t="s">
        <v>66</v>
      </c>
    </row>
    <row r="2" spans="1:11" ht="57" x14ac:dyDescent="0.2">
      <c r="A2" t="s">
        <v>71</v>
      </c>
      <c r="B2">
        <v>1.1000000000000001</v>
      </c>
      <c r="C2" s="23" t="s">
        <v>85</v>
      </c>
      <c r="D2" s="23" t="s">
        <v>78</v>
      </c>
      <c r="E2" s="23" t="s">
        <v>81</v>
      </c>
      <c r="F2" s="23" t="s">
        <v>5</v>
      </c>
      <c r="G2" s="82" t="s">
        <v>62</v>
      </c>
      <c r="H2" s="79" t="s">
        <v>65</v>
      </c>
      <c r="J2" t="s">
        <v>67</v>
      </c>
    </row>
    <row r="3" spans="1:11" ht="42.75" x14ac:dyDescent="0.2">
      <c r="B3">
        <v>1.2</v>
      </c>
      <c r="C3" s="23" t="s">
        <v>81</v>
      </c>
      <c r="D3" s="23" t="s">
        <v>82</v>
      </c>
      <c r="E3" s="23" t="s">
        <v>83</v>
      </c>
      <c r="F3" s="23" t="s">
        <v>84</v>
      </c>
      <c r="G3" s="82" t="s">
        <v>63</v>
      </c>
      <c r="H3" t="s">
        <v>64</v>
      </c>
    </row>
    <row r="4" spans="1:11" ht="28.5" x14ac:dyDescent="0.2">
      <c r="B4">
        <v>1.2</v>
      </c>
      <c r="C4" s="23" t="s">
        <v>85</v>
      </c>
      <c r="D4" s="23" t="s">
        <v>79</v>
      </c>
      <c r="E4" s="23" t="s">
        <v>81</v>
      </c>
      <c r="F4" s="23" t="s">
        <v>83</v>
      </c>
      <c r="G4" s="82" t="s">
        <v>68</v>
      </c>
    </row>
    <row r="5" spans="1:11" x14ac:dyDescent="0.2">
      <c r="A5" t="s">
        <v>72</v>
      </c>
      <c r="B5">
        <v>2.1</v>
      </c>
      <c r="C5" s="23" t="s">
        <v>76</v>
      </c>
      <c r="D5" s="23" t="s">
        <v>79</v>
      </c>
      <c r="E5" s="23">
        <v>0</v>
      </c>
      <c r="F5" s="23" t="s">
        <v>5</v>
      </c>
      <c r="G5" s="82"/>
    </row>
    <row r="6" spans="1:11" x14ac:dyDescent="0.2">
      <c r="B6">
        <v>2.2000000000000002</v>
      </c>
      <c r="C6" s="23" t="s">
        <v>77</v>
      </c>
      <c r="D6" s="23" t="s">
        <v>80</v>
      </c>
      <c r="E6" s="23" t="s">
        <v>7</v>
      </c>
      <c r="F6" s="23" t="s">
        <v>5</v>
      </c>
      <c r="G6" s="82"/>
    </row>
    <row r="7" spans="1:11" x14ac:dyDescent="0.2">
      <c r="B7">
        <v>2.2000000000000002</v>
      </c>
      <c r="C7" s="23" t="s">
        <v>78</v>
      </c>
      <c r="D7" s="23" t="s">
        <v>76</v>
      </c>
      <c r="E7" s="23" t="s">
        <v>6</v>
      </c>
      <c r="F7" s="23" t="s">
        <v>8</v>
      </c>
      <c r="G7" s="82"/>
    </row>
    <row r="8" spans="1:11" x14ac:dyDescent="0.2">
      <c r="B8">
        <v>2.2999999999999998</v>
      </c>
      <c r="C8" s="23" t="s">
        <v>79</v>
      </c>
      <c r="D8" s="23" t="s">
        <v>80</v>
      </c>
      <c r="E8" s="23" t="s">
        <v>78</v>
      </c>
      <c r="F8" s="23" t="s">
        <v>7</v>
      </c>
      <c r="G8" s="82"/>
    </row>
    <row r="9" spans="1:11" x14ac:dyDescent="0.2">
      <c r="B9">
        <v>2.2999999999999998</v>
      </c>
      <c r="C9" s="23" t="s">
        <v>77</v>
      </c>
      <c r="D9" s="23" t="s">
        <v>76</v>
      </c>
      <c r="E9" s="23" t="s">
        <v>79</v>
      </c>
      <c r="F9" s="23" t="s">
        <v>7</v>
      </c>
      <c r="G9" s="82"/>
    </row>
    <row r="10" spans="1:11" x14ac:dyDescent="0.2">
      <c r="B10">
        <v>2.4</v>
      </c>
      <c r="C10" s="23" t="s">
        <v>79</v>
      </c>
      <c r="D10" s="23" t="s">
        <v>81</v>
      </c>
      <c r="E10" s="23" t="s">
        <v>76</v>
      </c>
      <c r="F10" s="23" t="s">
        <v>80</v>
      </c>
      <c r="G10" s="82"/>
    </row>
    <row r="11" spans="1:11" x14ac:dyDescent="0.2">
      <c r="B11">
        <v>2.4</v>
      </c>
      <c r="C11" s="23" t="s">
        <v>78</v>
      </c>
      <c r="D11" s="23" t="s">
        <v>77</v>
      </c>
      <c r="E11" s="23" t="s">
        <v>80</v>
      </c>
      <c r="F11" s="23" t="s">
        <v>76</v>
      </c>
    </row>
    <row r="12" spans="1:11" x14ac:dyDescent="0.2">
      <c r="B12">
        <v>2.4</v>
      </c>
      <c r="C12" s="23" t="s">
        <v>76</v>
      </c>
      <c r="D12" s="23" t="s">
        <v>84</v>
      </c>
      <c r="E12" s="23" t="s">
        <v>82</v>
      </c>
      <c r="F12" s="23" t="s">
        <v>80</v>
      </c>
    </row>
    <row r="13" spans="1:11" x14ac:dyDescent="0.2">
      <c r="H13" s="23" t="s">
        <v>8</v>
      </c>
      <c r="I13" s="23" t="s">
        <v>7</v>
      </c>
      <c r="J13" s="23" t="s">
        <v>6</v>
      </c>
      <c r="K13" s="23" t="s">
        <v>5</v>
      </c>
    </row>
    <row r="14" spans="1:11" x14ac:dyDescent="0.2">
      <c r="H14">
        <f ca="1">RANDBETWEEN(1,4)</f>
        <v>4</v>
      </c>
      <c r="I14">
        <f t="shared" ref="I14:K14" ca="1" si="0">RANDBETWEEN(1,4)</f>
        <v>3</v>
      </c>
      <c r="J14">
        <f t="shared" ca="1" si="0"/>
        <v>1</v>
      </c>
      <c r="K14">
        <f t="shared" ca="1" si="0"/>
        <v>2</v>
      </c>
    </row>
    <row r="15" spans="1:11" ht="15" thickBot="1" x14ac:dyDescent="0.25">
      <c r="H15" t="s">
        <v>3</v>
      </c>
      <c r="I15" t="s">
        <v>2</v>
      </c>
      <c r="J15" t="s">
        <v>1</v>
      </c>
      <c r="K15" t="s">
        <v>0</v>
      </c>
    </row>
    <row r="16" spans="1:11" ht="16.5" thickTop="1" thickBot="1" x14ac:dyDescent="0.25">
      <c r="C16" s="84">
        <f ca="1">RANDBETWEEN(1,4)</f>
        <v>4</v>
      </c>
      <c r="D16" s="89" t="str">
        <f ca="1">VLOOKUP(C16,C17:D20,2)</f>
        <v>D</v>
      </c>
      <c r="E16" s="84">
        <f ca="1">RANDBETWEEN(1,6)</f>
        <v>5</v>
      </c>
      <c r="F16" s="89" t="str">
        <f ca="1">VLOOKUP(E16,E17:F22,2)</f>
        <v>BD</v>
      </c>
      <c r="G16"/>
    </row>
    <row r="17" spans="3:11" ht="15" thickTop="1" x14ac:dyDescent="0.2">
      <c r="C17" s="85">
        <v>1</v>
      </c>
      <c r="D17" s="86" t="s">
        <v>5</v>
      </c>
      <c r="E17" s="85">
        <v>1</v>
      </c>
      <c r="F17" s="86" t="s">
        <v>77</v>
      </c>
      <c r="G17"/>
    </row>
    <row r="18" spans="3:11" x14ac:dyDescent="0.2">
      <c r="C18" s="85">
        <v>2</v>
      </c>
      <c r="D18" s="86" t="s">
        <v>6</v>
      </c>
      <c r="E18" s="85">
        <v>2</v>
      </c>
      <c r="F18" s="86" t="s">
        <v>78</v>
      </c>
      <c r="G18"/>
      <c r="H18" t="s">
        <v>89</v>
      </c>
      <c r="I18" t="s">
        <v>70</v>
      </c>
      <c r="J18" s="23" t="s">
        <v>92</v>
      </c>
      <c r="K18" s="23" t="s">
        <v>88</v>
      </c>
    </row>
    <row r="19" spans="3:11" x14ac:dyDescent="0.2">
      <c r="C19" s="85">
        <v>3</v>
      </c>
      <c r="D19" s="86" t="s">
        <v>7</v>
      </c>
      <c r="E19" s="85">
        <v>3</v>
      </c>
      <c r="F19" s="86" t="s">
        <v>82</v>
      </c>
      <c r="G19"/>
      <c r="H19">
        <v>1</v>
      </c>
      <c r="I19" s="80">
        <v>1.1000000000000001</v>
      </c>
      <c r="J19">
        <v>1</v>
      </c>
      <c r="K19" t="s">
        <v>90</v>
      </c>
    </row>
    <row r="20" spans="3:11" ht="15" thickBot="1" x14ac:dyDescent="0.25">
      <c r="C20" s="87">
        <v>4</v>
      </c>
      <c r="D20" s="88" t="s">
        <v>8</v>
      </c>
      <c r="E20" s="85">
        <v>4</v>
      </c>
      <c r="F20" s="86" t="s">
        <v>79</v>
      </c>
      <c r="G20"/>
      <c r="H20">
        <v>2</v>
      </c>
      <c r="I20" s="80">
        <v>1.1000000000000001</v>
      </c>
      <c r="J20">
        <v>1</v>
      </c>
      <c r="K20" t="s">
        <v>90</v>
      </c>
    </row>
    <row r="21" spans="3:11" x14ac:dyDescent="0.2">
      <c r="E21" s="85">
        <v>5</v>
      </c>
      <c r="F21" s="86" t="s">
        <v>76</v>
      </c>
      <c r="G21"/>
      <c r="H21">
        <v>3</v>
      </c>
      <c r="I21" s="80">
        <v>1.1000000000000001</v>
      </c>
      <c r="J21">
        <v>1</v>
      </c>
      <c r="K21" t="s">
        <v>91</v>
      </c>
    </row>
    <row r="22" spans="3:11" ht="15" thickBot="1" x14ac:dyDescent="0.25">
      <c r="E22" s="87">
        <v>6</v>
      </c>
      <c r="F22" s="88" t="s">
        <v>80</v>
      </c>
      <c r="G22"/>
      <c r="H22">
        <v>4</v>
      </c>
      <c r="I22" s="80">
        <v>1.1000000000000001</v>
      </c>
      <c r="J22">
        <v>1</v>
      </c>
      <c r="K22" t="s">
        <v>91</v>
      </c>
    </row>
    <row r="23" spans="3:11" ht="16.5" thickTop="1" thickBot="1" x14ac:dyDescent="0.25">
      <c r="E23" s="84">
        <f ca="1">RANDBETWEEN(1,4)</f>
        <v>2</v>
      </c>
      <c r="F23" s="89" t="str">
        <f ca="1">VLOOKUP(E23,E24:F27,2)</f>
        <v>ABD</v>
      </c>
      <c r="G23"/>
      <c r="H23">
        <v>5</v>
      </c>
      <c r="I23" s="80">
        <v>1.1000000000000001</v>
      </c>
      <c r="J23">
        <v>1</v>
      </c>
      <c r="K23" t="s">
        <v>91</v>
      </c>
    </row>
    <row r="24" spans="3:11" ht="15" thickTop="1" x14ac:dyDescent="0.2">
      <c r="E24" s="85">
        <v>1</v>
      </c>
      <c r="F24" s="86" t="s">
        <v>85</v>
      </c>
      <c r="G24"/>
      <c r="H24">
        <v>6</v>
      </c>
      <c r="I24" s="90">
        <v>1.2</v>
      </c>
      <c r="J24">
        <v>2</v>
      </c>
      <c r="K24" t="s">
        <v>90</v>
      </c>
    </row>
    <row r="25" spans="3:11" x14ac:dyDescent="0.2">
      <c r="E25" s="85">
        <v>2</v>
      </c>
      <c r="F25" s="86" t="s">
        <v>81</v>
      </c>
      <c r="G25"/>
      <c r="H25">
        <v>7</v>
      </c>
      <c r="I25" s="90">
        <v>1.2</v>
      </c>
      <c r="J25">
        <v>2</v>
      </c>
      <c r="K25" t="s">
        <v>90</v>
      </c>
    </row>
    <row r="26" spans="3:11" x14ac:dyDescent="0.2">
      <c r="E26" s="85">
        <v>3</v>
      </c>
      <c r="F26" s="86" t="s">
        <v>84</v>
      </c>
      <c r="G26"/>
      <c r="H26">
        <v>8</v>
      </c>
      <c r="I26" s="90">
        <v>1.2</v>
      </c>
      <c r="J26">
        <v>2</v>
      </c>
      <c r="K26" t="s">
        <v>91</v>
      </c>
    </row>
    <row r="27" spans="3:11" ht="15" thickBot="1" x14ac:dyDescent="0.25">
      <c r="E27" s="87">
        <v>4</v>
      </c>
      <c r="F27" s="88" t="s">
        <v>83</v>
      </c>
      <c r="G27"/>
      <c r="H27">
        <v>9</v>
      </c>
      <c r="I27" s="90">
        <v>1.2</v>
      </c>
      <c r="J27">
        <v>2</v>
      </c>
      <c r="K27" t="s">
        <v>91</v>
      </c>
    </row>
    <row r="28" spans="3:11" x14ac:dyDescent="0.2">
      <c r="H28">
        <v>10</v>
      </c>
      <c r="I28" s="90">
        <v>1.2</v>
      </c>
      <c r="J28">
        <v>2</v>
      </c>
      <c r="K28" t="s">
        <v>91</v>
      </c>
    </row>
    <row r="29" spans="3:11" x14ac:dyDescent="0.2">
      <c r="H29">
        <v>11</v>
      </c>
      <c r="I29" s="90">
        <v>1.2</v>
      </c>
      <c r="J29">
        <v>3</v>
      </c>
      <c r="K29" t="s">
        <v>90</v>
      </c>
    </row>
    <row r="30" spans="3:11" x14ac:dyDescent="0.2">
      <c r="H30">
        <v>12</v>
      </c>
      <c r="I30" s="90">
        <v>1.2</v>
      </c>
      <c r="J30">
        <v>3</v>
      </c>
      <c r="K30" t="s">
        <v>90</v>
      </c>
    </row>
    <row r="31" spans="3:11" x14ac:dyDescent="0.2">
      <c r="H31">
        <v>13</v>
      </c>
      <c r="I31" s="90">
        <v>1.2</v>
      </c>
      <c r="J31">
        <v>3</v>
      </c>
      <c r="K31" t="s">
        <v>90</v>
      </c>
    </row>
    <row r="32" spans="3:11" x14ac:dyDescent="0.2">
      <c r="H32">
        <v>14</v>
      </c>
      <c r="I32" s="90">
        <v>1.2</v>
      </c>
      <c r="J32">
        <v>3</v>
      </c>
      <c r="K32" t="s">
        <v>91</v>
      </c>
    </row>
    <row r="33" spans="8:11" x14ac:dyDescent="0.2">
      <c r="H33">
        <v>15</v>
      </c>
      <c r="I33" s="90">
        <v>1.2</v>
      </c>
      <c r="J33">
        <v>3</v>
      </c>
      <c r="K33" t="s">
        <v>91</v>
      </c>
    </row>
    <row r="34" spans="8:11" x14ac:dyDescent="0.2">
      <c r="H34">
        <v>16</v>
      </c>
      <c r="I34" s="90">
        <v>1.2</v>
      </c>
      <c r="J34">
        <v>3</v>
      </c>
      <c r="K34" t="s">
        <v>91</v>
      </c>
    </row>
    <row r="35" spans="8:11" x14ac:dyDescent="0.2">
      <c r="H35">
        <v>17</v>
      </c>
      <c r="I35" s="90">
        <v>2.1</v>
      </c>
      <c r="J35">
        <v>4</v>
      </c>
      <c r="K35" t="s">
        <v>90</v>
      </c>
    </row>
    <row r="36" spans="8:11" x14ac:dyDescent="0.2">
      <c r="H36">
        <v>18</v>
      </c>
      <c r="I36" s="90">
        <v>2.1</v>
      </c>
      <c r="J36">
        <v>4</v>
      </c>
      <c r="K36" t="s">
        <v>90</v>
      </c>
    </row>
    <row r="37" spans="8:11" x14ac:dyDescent="0.2">
      <c r="H37">
        <v>19</v>
      </c>
      <c r="I37" s="90">
        <v>2.1</v>
      </c>
      <c r="J37">
        <v>4</v>
      </c>
      <c r="K37" t="s">
        <v>90</v>
      </c>
    </row>
    <row r="38" spans="8:11" x14ac:dyDescent="0.2">
      <c r="H38">
        <v>20</v>
      </c>
      <c r="I38" s="90">
        <v>2.1</v>
      </c>
      <c r="J38">
        <v>4</v>
      </c>
      <c r="K38" t="s">
        <v>90</v>
      </c>
    </row>
    <row r="39" spans="8:11" x14ac:dyDescent="0.2">
      <c r="H39">
        <v>21</v>
      </c>
      <c r="I39" s="90">
        <v>2.1</v>
      </c>
      <c r="J39">
        <v>4</v>
      </c>
      <c r="K39" t="s">
        <v>91</v>
      </c>
    </row>
    <row r="40" spans="8:11" x14ac:dyDescent="0.2">
      <c r="H40">
        <v>22</v>
      </c>
      <c r="I40" s="90">
        <v>2.1</v>
      </c>
      <c r="J40">
        <v>4</v>
      </c>
      <c r="K40" t="s">
        <v>91</v>
      </c>
    </row>
    <row r="41" spans="8:11" x14ac:dyDescent="0.2">
      <c r="H41">
        <v>23</v>
      </c>
      <c r="I41" s="90">
        <v>2.1</v>
      </c>
      <c r="J41">
        <v>4</v>
      </c>
      <c r="K41" t="s">
        <v>91</v>
      </c>
    </row>
    <row r="42" spans="8:11" x14ac:dyDescent="0.2">
      <c r="H42">
        <v>24</v>
      </c>
      <c r="I42" s="91">
        <v>2.2000000000000002</v>
      </c>
      <c r="J42">
        <v>5</v>
      </c>
      <c r="K42" t="s">
        <v>90</v>
      </c>
    </row>
    <row r="43" spans="8:11" x14ac:dyDescent="0.2">
      <c r="H43">
        <v>25</v>
      </c>
      <c r="I43" s="91">
        <v>2.2000000000000002</v>
      </c>
      <c r="J43">
        <v>5</v>
      </c>
      <c r="K43" t="s">
        <v>90</v>
      </c>
    </row>
    <row r="44" spans="8:11" x14ac:dyDescent="0.2">
      <c r="H44">
        <v>26</v>
      </c>
      <c r="I44" s="91">
        <v>2.2000000000000002</v>
      </c>
      <c r="J44">
        <v>5</v>
      </c>
      <c r="K44" t="s">
        <v>90</v>
      </c>
    </row>
    <row r="45" spans="8:11" x14ac:dyDescent="0.2">
      <c r="H45">
        <v>27</v>
      </c>
      <c r="I45" s="91">
        <v>2.2000000000000002</v>
      </c>
      <c r="J45">
        <v>5</v>
      </c>
      <c r="K45" t="s">
        <v>91</v>
      </c>
    </row>
    <row r="46" spans="8:11" x14ac:dyDescent="0.2">
      <c r="H46">
        <v>28</v>
      </c>
      <c r="I46" s="91">
        <v>2.2000000000000002</v>
      </c>
      <c r="J46">
        <v>5</v>
      </c>
      <c r="K46" t="s">
        <v>91</v>
      </c>
    </row>
    <row r="47" spans="8:11" x14ac:dyDescent="0.2">
      <c r="H47">
        <v>29</v>
      </c>
      <c r="I47" s="91">
        <v>2.2000000000000002</v>
      </c>
      <c r="J47">
        <v>5</v>
      </c>
      <c r="K47" t="s">
        <v>91</v>
      </c>
    </row>
    <row r="48" spans="8:11" x14ac:dyDescent="0.2">
      <c r="H48">
        <v>30</v>
      </c>
      <c r="I48" s="91">
        <v>2.2000000000000002</v>
      </c>
      <c r="J48">
        <v>6</v>
      </c>
      <c r="K48" t="s">
        <v>90</v>
      </c>
    </row>
    <row r="49" spans="8:11" x14ac:dyDescent="0.2">
      <c r="H49">
        <v>31</v>
      </c>
      <c r="I49" s="91">
        <v>2.2000000000000002</v>
      </c>
      <c r="J49">
        <v>6</v>
      </c>
      <c r="K49" t="s">
        <v>90</v>
      </c>
    </row>
    <row r="50" spans="8:11" x14ac:dyDescent="0.2">
      <c r="H50">
        <v>32</v>
      </c>
      <c r="I50" s="91">
        <v>2.2000000000000002</v>
      </c>
      <c r="J50">
        <v>6</v>
      </c>
      <c r="K50" t="s">
        <v>90</v>
      </c>
    </row>
    <row r="51" spans="8:11" x14ac:dyDescent="0.2">
      <c r="H51">
        <v>33</v>
      </c>
      <c r="I51" s="91">
        <v>2.2000000000000002</v>
      </c>
      <c r="J51">
        <v>6</v>
      </c>
      <c r="K51" t="s">
        <v>91</v>
      </c>
    </row>
    <row r="52" spans="8:11" x14ac:dyDescent="0.2">
      <c r="H52">
        <v>34</v>
      </c>
      <c r="I52" s="91">
        <v>2.2000000000000002</v>
      </c>
      <c r="J52">
        <v>6</v>
      </c>
      <c r="K52" t="s">
        <v>91</v>
      </c>
    </row>
    <row r="53" spans="8:11" x14ac:dyDescent="0.2">
      <c r="H53">
        <v>35</v>
      </c>
      <c r="I53" s="91">
        <v>2.2000000000000002</v>
      </c>
      <c r="J53">
        <v>6</v>
      </c>
      <c r="K53" t="s">
        <v>91</v>
      </c>
    </row>
    <row r="54" spans="8:11" x14ac:dyDescent="0.2">
      <c r="H54">
        <v>36</v>
      </c>
      <c r="I54" s="90">
        <v>2.2999999999999998</v>
      </c>
      <c r="J54">
        <v>7</v>
      </c>
      <c r="K54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8DEE-7BB6-410A-BB9B-456A14FC138D}">
  <dimension ref="A1:Z64"/>
  <sheetViews>
    <sheetView rightToLeft="1" workbookViewId="0">
      <pane xSplit="1" ySplit="16" topLeftCell="C31" activePane="bottomRight" state="frozen"/>
      <selection pane="topRight" activeCell="B1" sqref="B1"/>
      <selection pane="bottomLeft" activeCell="A17" sqref="A17"/>
      <selection pane="bottomRight" activeCell="E42" sqref="E42"/>
    </sheetView>
  </sheetViews>
  <sheetFormatPr defaultRowHeight="14.25" x14ac:dyDescent="0.2"/>
  <cols>
    <col min="1" max="1" width="9" style="23"/>
  </cols>
  <sheetData>
    <row r="1" spans="1:12" x14ac:dyDescent="0.2">
      <c r="D1" s="23" t="s">
        <v>8</v>
      </c>
      <c r="E1" s="23" t="s">
        <v>7</v>
      </c>
      <c r="F1" s="23" t="s">
        <v>6</v>
      </c>
      <c r="G1" s="23" t="s">
        <v>5</v>
      </c>
      <c r="J1" t="s">
        <v>59</v>
      </c>
      <c r="K1" t="s">
        <v>100</v>
      </c>
    </row>
    <row r="2" spans="1:12" x14ac:dyDescent="0.2">
      <c r="D2" s="23">
        <f ca="1">RANDBETWEEN(1,4)</f>
        <v>1</v>
      </c>
      <c r="E2">
        <f ca="1">RANDBETWEEN(1,4)</f>
        <v>3</v>
      </c>
      <c r="F2">
        <f ca="1">RANDBETWEEN(1,4)</f>
        <v>3</v>
      </c>
      <c r="G2">
        <f ca="1">RANDBETWEEN(1,4)</f>
        <v>4</v>
      </c>
      <c r="J2" t="s">
        <v>59</v>
      </c>
      <c r="K2" t="s">
        <v>101</v>
      </c>
    </row>
    <row r="3" spans="1:12" x14ac:dyDescent="0.2">
      <c r="D3" s="23" t="s">
        <v>0</v>
      </c>
      <c r="E3" t="s">
        <v>87</v>
      </c>
      <c r="F3" t="s">
        <v>86</v>
      </c>
      <c r="G3" t="s">
        <v>1</v>
      </c>
      <c r="J3" t="s">
        <v>59</v>
      </c>
      <c r="K3" t="s">
        <v>102</v>
      </c>
    </row>
    <row r="4" spans="1:12" x14ac:dyDescent="0.2">
      <c r="F4" t="s">
        <v>98</v>
      </c>
    </row>
    <row r="5" spans="1:12" x14ac:dyDescent="0.2">
      <c r="A5" s="23" t="s">
        <v>70</v>
      </c>
      <c r="B5" s="23" t="s">
        <v>50</v>
      </c>
      <c r="C5" s="23" t="s">
        <v>73</v>
      </c>
      <c r="D5" s="23" t="s">
        <v>74</v>
      </c>
      <c r="E5" s="23" t="s">
        <v>75</v>
      </c>
    </row>
    <row r="6" spans="1:12" x14ac:dyDescent="0.2">
      <c r="A6" s="106">
        <v>1.1000000000000001</v>
      </c>
      <c r="B6" s="106" t="s">
        <v>85</v>
      </c>
      <c r="C6" s="106" t="s">
        <v>78</v>
      </c>
      <c r="D6" s="106" t="s">
        <v>81</v>
      </c>
      <c r="E6" s="106" t="s">
        <v>5</v>
      </c>
      <c r="F6" s="106" t="s">
        <v>79</v>
      </c>
    </row>
    <row r="7" spans="1:12" x14ac:dyDescent="0.2">
      <c r="A7" s="107">
        <v>1.2</v>
      </c>
      <c r="B7" s="107" t="s">
        <v>81</v>
      </c>
      <c r="C7" s="107" t="s">
        <v>82</v>
      </c>
      <c r="D7" s="107" t="s">
        <v>83</v>
      </c>
      <c r="E7" s="107" t="s">
        <v>84</v>
      </c>
      <c r="F7" s="107" t="s">
        <v>77</v>
      </c>
    </row>
    <row r="8" spans="1:12" x14ac:dyDescent="0.2">
      <c r="A8" s="106">
        <v>1.2</v>
      </c>
      <c r="B8" s="106" t="s">
        <v>85</v>
      </c>
      <c r="C8" s="106" t="s">
        <v>79</v>
      </c>
      <c r="D8" s="106" t="s">
        <v>81</v>
      </c>
      <c r="E8" s="106" t="s">
        <v>83</v>
      </c>
      <c r="F8" s="106" t="s">
        <v>78</v>
      </c>
    </row>
    <row r="9" spans="1:12" x14ac:dyDescent="0.2">
      <c r="A9" s="107">
        <v>2.1</v>
      </c>
      <c r="B9" s="107" t="s">
        <v>76</v>
      </c>
      <c r="C9" s="107" t="s">
        <v>79</v>
      </c>
      <c r="D9" s="107">
        <v>0</v>
      </c>
      <c r="E9" s="107" t="s">
        <v>5</v>
      </c>
      <c r="F9" s="107" t="s">
        <v>76</v>
      </c>
    </row>
    <row r="10" spans="1:12" x14ac:dyDescent="0.2">
      <c r="A10" s="106">
        <v>2.2000000000000002</v>
      </c>
      <c r="B10" s="106" t="s">
        <v>77</v>
      </c>
      <c r="C10" s="106" t="s">
        <v>80</v>
      </c>
      <c r="D10" s="106" t="s">
        <v>7</v>
      </c>
      <c r="E10" s="106" t="s">
        <v>5</v>
      </c>
      <c r="F10" s="106" t="s">
        <v>77</v>
      </c>
      <c r="K10" t="s">
        <v>103</v>
      </c>
      <c r="L10" t="s">
        <v>106</v>
      </c>
    </row>
    <row r="11" spans="1:12" x14ac:dyDescent="0.2">
      <c r="A11" s="107">
        <v>2.2000000000000002</v>
      </c>
      <c r="B11" s="107" t="s">
        <v>78</v>
      </c>
      <c r="C11" s="107" t="s">
        <v>76</v>
      </c>
      <c r="D11" s="107" t="s">
        <v>6</v>
      </c>
      <c r="E11" s="107" t="s">
        <v>8</v>
      </c>
      <c r="F11" s="107" t="s">
        <v>78</v>
      </c>
      <c r="K11" t="s">
        <v>50</v>
      </c>
      <c r="L11" t="s">
        <v>104</v>
      </c>
    </row>
    <row r="12" spans="1:12" x14ac:dyDescent="0.2">
      <c r="A12" s="106">
        <v>2.2999999999999998</v>
      </c>
      <c r="B12" s="106" t="s">
        <v>79</v>
      </c>
      <c r="C12" s="106" t="s">
        <v>80</v>
      </c>
      <c r="D12" s="106" t="s">
        <v>77</v>
      </c>
      <c r="E12" s="106" t="s">
        <v>7</v>
      </c>
      <c r="F12" s="106" t="s">
        <v>79</v>
      </c>
      <c r="G12" s="109"/>
      <c r="K12" t="s">
        <v>71</v>
      </c>
      <c r="L12" t="s">
        <v>13</v>
      </c>
    </row>
    <row r="13" spans="1:12" x14ac:dyDescent="0.2">
      <c r="A13" s="107">
        <v>2.2999999999999998</v>
      </c>
      <c r="B13" s="107" t="s">
        <v>77</v>
      </c>
      <c r="C13" s="107" t="s">
        <v>76</v>
      </c>
      <c r="D13" s="107" t="s">
        <v>79</v>
      </c>
      <c r="E13" s="107" t="s">
        <v>7</v>
      </c>
      <c r="F13" s="107" t="s">
        <v>77</v>
      </c>
      <c r="K13" t="s">
        <v>72</v>
      </c>
      <c r="L13" t="s">
        <v>14</v>
      </c>
    </row>
    <row r="14" spans="1:12" x14ac:dyDescent="0.2">
      <c r="A14" s="106">
        <v>2.4</v>
      </c>
      <c r="B14" s="106" t="s">
        <v>79</v>
      </c>
      <c r="C14" s="106" t="s">
        <v>81</v>
      </c>
      <c r="D14" s="106" t="s">
        <v>76</v>
      </c>
      <c r="E14" s="106" t="s">
        <v>80</v>
      </c>
      <c r="F14" s="106" t="s">
        <v>79</v>
      </c>
      <c r="K14" t="s">
        <v>94</v>
      </c>
      <c r="L14" t="s">
        <v>15</v>
      </c>
    </row>
    <row r="15" spans="1:12" x14ac:dyDescent="0.2">
      <c r="A15" s="107">
        <v>2.4</v>
      </c>
      <c r="B15" s="107" t="s">
        <v>78</v>
      </c>
      <c r="C15" s="107" t="s">
        <v>77</v>
      </c>
      <c r="D15" s="107" t="s">
        <v>80</v>
      </c>
      <c r="E15" s="107" t="s">
        <v>76</v>
      </c>
      <c r="F15" s="107" t="s">
        <v>78</v>
      </c>
    </row>
    <row r="16" spans="1:12" x14ac:dyDescent="0.2">
      <c r="A16" s="106">
        <v>2.4</v>
      </c>
      <c r="B16" s="106" t="s">
        <v>76</v>
      </c>
      <c r="C16" s="106" t="s">
        <v>84</v>
      </c>
      <c r="D16" s="106" t="s">
        <v>82</v>
      </c>
      <c r="E16" s="106" t="s">
        <v>79</v>
      </c>
      <c r="F16" s="106" t="s">
        <v>76</v>
      </c>
    </row>
    <row r="22" spans="1:26" ht="15" thickBot="1" x14ac:dyDescent="0.25"/>
    <row r="23" spans="1:26" ht="15" x14ac:dyDescent="0.2">
      <c r="A23" s="23" t="s">
        <v>96</v>
      </c>
      <c r="B23" s="24"/>
      <c r="C23" s="92" t="s">
        <v>8</v>
      </c>
      <c r="D23" s="101" t="s">
        <v>7</v>
      </c>
      <c r="E23" s="101" t="s">
        <v>6</v>
      </c>
      <c r="F23" s="93" t="s">
        <v>5</v>
      </c>
      <c r="G23" s="24"/>
      <c r="H23" s="92" t="s">
        <v>8</v>
      </c>
      <c r="I23" s="101" t="s">
        <v>7</v>
      </c>
      <c r="J23" s="101" t="s">
        <v>6</v>
      </c>
      <c r="K23" s="93" t="s">
        <v>5</v>
      </c>
      <c r="L23" s="24"/>
      <c r="M23" s="92" t="s">
        <v>8</v>
      </c>
      <c r="N23" s="101" t="s">
        <v>7</v>
      </c>
      <c r="O23" s="101" t="s">
        <v>6</v>
      </c>
      <c r="P23" s="93" t="s">
        <v>5</v>
      </c>
      <c r="Q23" s="24"/>
      <c r="R23" s="92" t="s">
        <v>8</v>
      </c>
      <c r="S23" s="101" t="s">
        <v>7</v>
      </c>
      <c r="T23" s="101" t="s">
        <v>6</v>
      </c>
      <c r="U23" s="93" t="s">
        <v>5</v>
      </c>
      <c r="V23" s="24"/>
      <c r="W23" s="92" t="s">
        <v>8</v>
      </c>
      <c r="X23" s="101" t="s">
        <v>7</v>
      </c>
      <c r="Y23" s="101" t="s">
        <v>6</v>
      </c>
      <c r="Z23" s="93" t="s">
        <v>5</v>
      </c>
    </row>
    <row r="24" spans="1:26" x14ac:dyDescent="0.2">
      <c r="B24" s="5"/>
      <c r="C24" t="s">
        <v>0</v>
      </c>
      <c r="D24" t="s">
        <v>87</v>
      </c>
      <c r="E24" t="s">
        <v>86</v>
      </c>
      <c r="F24" s="6" t="s">
        <v>1</v>
      </c>
      <c r="G24" s="5"/>
      <c r="H24" t="s">
        <v>0</v>
      </c>
      <c r="I24" t="s">
        <v>87</v>
      </c>
      <c r="J24" t="s">
        <v>86</v>
      </c>
      <c r="K24" s="6" t="s">
        <v>1</v>
      </c>
      <c r="L24" s="5"/>
      <c r="M24" t="s">
        <v>0</v>
      </c>
      <c r="N24" t="s">
        <v>87</v>
      </c>
      <c r="O24" t="s">
        <v>86</v>
      </c>
      <c r="P24" s="6" t="s">
        <v>1</v>
      </c>
      <c r="Q24" s="5"/>
      <c r="R24" t="s">
        <v>0</v>
      </c>
      <c r="S24" t="s">
        <v>87</v>
      </c>
      <c r="T24" t="s">
        <v>86</v>
      </c>
      <c r="U24" s="6" t="s">
        <v>1</v>
      </c>
      <c r="V24" s="5"/>
      <c r="W24" t="s">
        <v>0</v>
      </c>
      <c r="X24" t="s">
        <v>87</v>
      </c>
      <c r="Y24" t="s">
        <v>86</v>
      </c>
      <c r="Z24" s="6" t="s">
        <v>1</v>
      </c>
    </row>
    <row r="25" spans="1:26" x14ac:dyDescent="0.2">
      <c r="A25" s="23" t="s">
        <v>95</v>
      </c>
      <c r="B25" s="94" t="s">
        <v>93</v>
      </c>
      <c r="C25" s="95">
        <v>4</v>
      </c>
      <c r="D25" s="95">
        <v>1</v>
      </c>
      <c r="E25" s="95">
        <v>4</v>
      </c>
      <c r="F25" s="96">
        <v>2</v>
      </c>
      <c r="G25" s="94" t="s">
        <v>93</v>
      </c>
      <c r="H25" s="95">
        <v>2</v>
      </c>
      <c r="I25" s="95">
        <v>3</v>
      </c>
      <c r="J25" s="95">
        <v>1</v>
      </c>
      <c r="K25" s="96">
        <v>2</v>
      </c>
      <c r="L25" s="94" t="s">
        <v>93</v>
      </c>
      <c r="M25" s="95">
        <v>2</v>
      </c>
      <c r="N25" s="95">
        <v>2</v>
      </c>
      <c r="O25" s="95">
        <v>3</v>
      </c>
      <c r="P25" s="96">
        <v>2</v>
      </c>
      <c r="Q25" s="94" t="s">
        <v>93</v>
      </c>
      <c r="R25" s="95">
        <v>1</v>
      </c>
      <c r="S25" s="95">
        <v>3</v>
      </c>
      <c r="T25" s="95">
        <v>1</v>
      </c>
      <c r="U25" s="96">
        <v>2</v>
      </c>
      <c r="V25" s="94" t="s">
        <v>93</v>
      </c>
      <c r="W25" s="95">
        <v>4</v>
      </c>
      <c r="X25" s="95">
        <v>4</v>
      </c>
      <c r="Y25" s="95">
        <v>2</v>
      </c>
      <c r="Z25" s="96">
        <v>2</v>
      </c>
    </row>
    <row r="26" spans="1:26" x14ac:dyDescent="0.2">
      <c r="B26" s="5" t="s">
        <v>50</v>
      </c>
      <c r="C26" s="99">
        <v>2</v>
      </c>
      <c r="D26">
        <f>D25</f>
        <v>1</v>
      </c>
      <c r="E26">
        <f>E25</f>
        <v>4</v>
      </c>
      <c r="F26" s="6">
        <f>F25</f>
        <v>2</v>
      </c>
      <c r="G26" s="5" t="s">
        <v>50</v>
      </c>
      <c r="H26" s="99">
        <v>1</v>
      </c>
      <c r="I26">
        <f>I25</f>
        <v>3</v>
      </c>
      <c r="J26">
        <f>J25</f>
        <v>1</v>
      </c>
      <c r="K26" s="6">
        <f>K25</f>
        <v>2</v>
      </c>
      <c r="L26" s="5" t="s">
        <v>50</v>
      </c>
      <c r="M26" s="99">
        <v>3</v>
      </c>
      <c r="N26">
        <f>N25</f>
        <v>2</v>
      </c>
      <c r="O26">
        <f>O25</f>
        <v>3</v>
      </c>
      <c r="P26" s="6">
        <f>P25</f>
        <v>2</v>
      </c>
      <c r="Q26" s="5" t="s">
        <v>50</v>
      </c>
      <c r="R26" s="99">
        <v>4</v>
      </c>
      <c r="S26">
        <f>S25</f>
        <v>3</v>
      </c>
      <c r="T26">
        <f>T25</f>
        <v>1</v>
      </c>
      <c r="U26" s="6">
        <f>U25</f>
        <v>2</v>
      </c>
      <c r="V26" s="5" t="s">
        <v>50</v>
      </c>
      <c r="W26" s="99">
        <v>1</v>
      </c>
      <c r="X26">
        <f>X25</f>
        <v>4</v>
      </c>
      <c r="Y26">
        <f>Y25</f>
        <v>2</v>
      </c>
      <c r="Z26" s="6">
        <f>Z25</f>
        <v>2</v>
      </c>
    </row>
    <row r="27" spans="1:26" x14ac:dyDescent="0.2">
      <c r="B27" s="5" t="s">
        <v>71</v>
      </c>
      <c r="C27" s="99">
        <v>2</v>
      </c>
      <c r="D27">
        <f>D25</f>
        <v>1</v>
      </c>
      <c r="E27" s="99">
        <v>3</v>
      </c>
      <c r="F27" s="6">
        <f t="shared" ref="F27:F29" si="0">F26</f>
        <v>2</v>
      </c>
      <c r="G27" s="5" t="s">
        <v>71</v>
      </c>
      <c r="H27" s="99">
        <v>4</v>
      </c>
      <c r="I27">
        <f>I25</f>
        <v>3</v>
      </c>
      <c r="J27" s="99">
        <v>4</v>
      </c>
      <c r="K27" s="6">
        <f t="shared" ref="K27:K29" si="1">K26</f>
        <v>2</v>
      </c>
      <c r="L27" s="5" t="s">
        <v>71</v>
      </c>
      <c r="M27" s="99">
        <v>1</v>
      </c>
      <c r="N27">
        <f>N25</f>
        <v>2</v>
      </c>
      <c r="O27" s="99">
        <v>4</v>
      </c>
      <c r="P27" s="6">
        <f t="shared" ref="P27:P29" si="2">P26</f>
        <v>2</v>
      </c>
      <c r="Q27" s="5" t="s">
        <v>71</v>
      </c>
      <c r="R27" s="99">
        <v>2</v>
      </c>
      <c r="S27">
        <f>S25</f>
        <v>3</v>
      </c>
      <c r="T27" s="99">
        <v>3</v>
      </c>
      <c r="U27" s="6">
        <f t="shared" ref="U27:U29" si="3">U26</f>
        <v>2</v>
      </c>
      <c r="V27" s="5" t="s">
        <v>71</v>
      </c>
      <c r="W27" s="99">
        <v>1</v>
      </c>
      <c r="X27">
        <f>X25</f>
        <v>4</v>
      </c>
      <c r="Y27" s="99">
        <v>1</v>
      </c>
      <c r="Z27" s="6">
        <f t="shared" ref="Z27:Z29" si="4">Z26</f>
        <v>2</v>
      </c>
    </row>
    <row r="28" spans="1:26" x14ac:dyDescent="0.2">
      <c r="B28" s="5" t="s">
        <v>72</v>
      </c>
      <c r="C28">
        <f>C25</f>
        <v>4</v>
      </c>
      <c r="D28" s="99">
        <v>2</v>
      </c>
      <c r="E28">
        <f>E25</f>
        <v>4</v>
      </c>
      <c r="F28" s="6">
        <f t="shared" si="0"/>
        <v>2</v>
      </c>
      <c r="G28" s="5" t="s">
        <v>72</v>
      </c>
      <c r="H28">
        <f>H25</f>
        <v>2</v>
      </c>
      <c r="I28" s="99">
        <v>1</v>
      </c>
      <c r="J28">
        <f>J25</f>
        <v>1</v>
      </c>
      <c r="K28" s="6">
        <f t="shared" si="1"/>
        <v>2</v>
      </c>
      <c r="L28" s="5" t="s">
        <v>72</v>
      </c>
      <c r="M28">
        <f>M25</f>
        <v>2</v>
      </c>
      <c r="N28" s="99">
        <v>4</v>
      </c>
      <c r="O28">
        <f>O25</f>
        <v>3</v>
      </c>
      <c r="P28" s="6">
        <f t="shared" si="2"/>
        <v>2</v>
      </c>
      <c r="Q28" s="5" t="s">
        <v>72</v>
      </c>
      <c r="R28">
        <f>R25</f>
        <v>1</v>
      </c>
      <c r="S28" s="99">
        <v>4</v>
      </c>
      <c r="T28">
        <f>T25</f>
        <v>1</v>
      </c>
      <c r="U28" s="6">
        <f t="shared" si="3"/>
        <v>2</v>
      </c>
      <c r="V28" s="5" t="s">
        <v>72</v>
      </c>
      <c r="W28">
        <f>W25</f>
        <v>4</v>
      </c>
      <c r="X28" s="99">
        <v>1</v>
      </c>
      <c r="Y28">
        <f>Y25</f>
        <v>2</v>
      </c>
      <c r="Z28" s="6">
        <f t="shared" si="4"/>
        <v>2</v>
      </c>
    </row>
    <row r="29" spans="1:26" ht="15" thickBot="1" x14ac:dyDescent="0.25">
      <c r="B29" s="97" t="s">
        <v>94</v>
      </c>
      <c r="C29" s="100">
        <v>3</v>
      </c>
      <c r="D29" s="100">
        <v>4</v>
      </c>
      <c r="E29" s="100">
        <v>2</v>
      </c>
      <c r="F29" s="98">
        <f t="shared" si="0"/>
        <v>2</v>
      </c>
      <c r="G29" s="97" t="s">
        <v>94</v>
      </c>
      <c r="H29" s="100">
        <v>3</v>
      </c>
      <c r="I29" s="100">
        <v>4</v>
      </c>
      <c r="J29" s="100">
        <v>4</v>
      </c>
      <c r="K29" s="98">
        <f t="shared" si="1"/>
        <v>2</v>
      </c>
      <c r="L29" s="97" t="s">
        <v>94</v>
      </c>
      <c r="M29" s="100">
        <v>4</v>
      </c>
      <c r="N29" s="100">
        <v>3</v>
      </c>
      <c r="O29" s="100">
        <v>1</v>
      </c>
      <c r="P29" s="98">
        <f t="shared" si="2"/>
        <v>2</v>
      </c>
      <c r="Q29" s="97" t="s">
        <v>94</v>
      </c>
      <c r="R29" s="100">
        <v>2</v>
      </c>
      <c r="S29" s="100">
        <v>2</v>
      </c>
      <c r="T29" s="100">
        <v>2</v>
      </c>
      <c r="U29" s="98">
        <f t="shared" si="3"/>
        <v>2</v>
      </c>
      <c r="V29" s="97" t="s">
        <v>94</v>
      </c>
      <c r="W29" s="100">
        <v>1</v>
      </c>
      <c r="X29" s="100">
        <v>1</v>
      </c>
      <c r="Y29" s="100">
        <v>1</v>
      </c>
      <c r="Z29" s="98">
        <f t="shared" si="4"/>
        <v>2</v>
      </c>
    </row>
    <row r="30" spans="1:26" ht="15" x14ac:dyDescent="0.2">
      <c r="A30" s="23" t="s">
        <v>97</v>
      </c>
      <c r="B30" s="24"/>
      <c r="C30" s="92" t="s">
        <v>8</v>
      </c>
      <c r="D30" s="110" t="s">
        <v>7</v>
      </c>
      <c r="E30" s="101" t="s">
        <v>6</v>
      </c>
      <c r="F30" s="112" t="s">
        <v>5</v>
      </c>
      <c r="G30" s="24"/>
      <c r="H30" s="92" t="s">
        <v>8</v>
      </c>
      <c r="I30" s="110" t="s">
        <v>7</v>
      </c>
      <c r="J30" s="110" t="s">
        <v>6</v>
      </c>
      <c r="K30" s="93" t="s">
        <v>5</v>
      </c>
      <c r="L30" s="24"/>
      <c r="M30" s="92" t="s">
        <v>8</v>
      </c>
      <c r="N30" s="110" t="s">
        <v>7</v>
      </c>
      <c r="O30" s="110" t="s">
        <v>6</v>
      </c>
      <c r="P30" s="93" t="s">
        <v>5</v>
      </c>
      <c r="Q30" s="24"/>
      <c r="R30" s="92" t="s">
        <v>8</v>
      </c>
      <c r="S30" s="110" t="s">
        <v>7</v>
      </c>
      <c r="T30" s="110" t="s">
        <v>6</v>
      </c>
      <c r="U30" s="93" t="s">
        <v>5</v>
      </c>
      <c r="V30" s="24"/>
      <c r="W30" s="92" t="s">
        <v>8</v>
      </c>
      <c r="X30" s="110" t="s">
        <v>7</v>
      </c>
      <c r="Y30" s="110" t="s">
        <v>6</v>
      </c>
      <c r="Z30" s="93" t="s">
        <v>5</v>
      </c>
    </row>
    <row r="31" spans="1:26" x14ac:dyDescent="0.2">
      <c r="A31" s="23" t="s">
        <v>99</v>
      </c>
      <c r="B31" s="5"/>
      <c r="C31" t="s">
        <v>0</v>
      </c>
      <c r="D31" t="s">
        <v>87</v>
      </c>
      <c r="E31" t="s">
        <v>86</v>
      </c>
      <c r="F31" s="6" t="s">
        <v>1</v>
      </c>
      <c r="G31" s="5"/>
      <c r="H31" t="s">
        <v>0</v>
      </c>
      <c r="I31" t="s">
        <v>87</v>
      </c>
      <c r="J31" t="s">
        <v>86</v>
      </c>
      <c r="K31" s="6" t="s">
        <v>1</v>
      </c>
      <c r="L31" s="5"/>
      <c r="M31" t="s">
        <v>0</v>
      </c>
      <c r="N31" t="s">
        <v>87</v>
      </c>
      <c r="O31" t="s">
        <v>86</v>
      </c>
      <c r="P31" s="6" t="s">
        <v>1</v>
      </c>
      <c r="Q31" s="5"/>
      <c r="R31" t="s">
        <v>0</v>
      </c>
      <c r="S31" t="s">
        <v>87</v>
      </c>
      <c r="T31" t="s">
        <v>86</v>
      </c>
      <c r="U31" s="6" t="s">
        <v>1</v>
      </c>
      <c r="V31" s="5"/>
      <c r="W31" t="s">
        <v>0</v>
      </c>
      <c r="X31" t="s">
        <v>87</v>
      </c>
      <c r="Y31" t="s">
        <v>86</v>
      </c>
      <c r="Z31" s="6" t="s">
        <v>1</v>
      </c>
    </row>
    <row r="32" spans="1:26" x14ac:dyDescent="0.2">
      <c r="B32" s="94" t="s">
        <v>93</v>
      </c>
      <c r="C32" s="95">
        <v>2</v>
      </c>
      <c r="D32" s="95">
        <v>3</v>
      </c>
      <c r="E32" s="95">
        <v>2</v>
      </c>
      <c r="F32" s="96">
        <v>3</v>
      </c>
      <c r="G32" s="94" t="s">
        <v>93</v>
      </c>
      <c r="H32" s="95">
        <v>2</v>
      </c>
      <c r="I32" s="95">
        <v>3</v>
      </c>
      <c r="J32" s="95">
        <v>1</v>
      </c>
      <c r="K32" s="96">
        <v>3</v>
      </c>
      <c r="L32" s="94" t="s">
        <v>93</v>
      </c>
      <c r="M32" s="95">
        <v>2</v>
      </c>
      <c r="N32" s="95">
        <v>2</v>
      </c>
      <c r="O32" s="95">
        <v>2</v>
      </c>
      <c r="P32" s="96">
        <v>1</v>
      </c>
      <c r="Q32" s="94" t="s">
        <v>93</v>
      </c>
      <c r="R32" s="95">
        <v>2</v>
      </c>
      <c r="S32" s="95">
        <v>3</v>
      </c>
      <c r="T32" s="95">
        <v>2</v>
      </c>
      <c r="U32" s="96">
        <v>4</v>
      </c>
      <c r="V32" s="94" t="s">
        <v>93</v>
      </c>
      <c r="W32" s="95">
        <v>4</v>
      </c>
      <c r="X32" s="95">
        <v>2</v>
      </c>
      <c r="Y32" s="95">
        <v>2</v>
      </c>
      <c r="Z32" s="96">
        <v>3</v>
      </c>
    </row>
    <row r="33" spans="1:26" x14ac:dyDescent="0.2">
      <c r="B33" s="5" t="s">
        <v>50</v>
      </c>
      <c r="C33" s="102">
        <f>C32</f>
        <v>2</v>
      </c>
      <c r="D33" s="99">
        <v>4</v>
      </c>
      <c r="E33" s="102">
        <f>E32</f>
        <v>2</v>
      </c>
      <c r="F33" s="104">
        <f>F32</f>
        <v>3</v>
      </c>
      <c r="G33" s="5" t="s">
        <v>50</v>
      </c>
      <c r="H33" s="102">
        <f>H32</f>
        <v>2</v>
      </c>
      <c r="I33" s="99">
        <v>4</v>
      </c>
      <c r="J33" s="102">
        <f>J32</f>
        <v>1</v>
      </c>
      <c r="K33" s="104">
        <f>K32</f>
        <v>3</v>
      </c>
      <c r="L33" s="5" t="s">
        <v>50</v>
      </c>
      <c r="M33" s="102">
        <f>M32</f>
        <v>2</v>
      </c>
      <c r="N33" s="99">
        <v>3</v>
      </c>
      <c r="O33" s="102">
        <f>O32</f>
        <v>2</v>
      </c>
      <c r="P33" s="104">
        <f>P32</f>
        <v>1</v>
      </c>
      <c r="Q33" s="5" t="s">
        <v>50</v>
      </c>
      <c r="R33" s="102">
        <f>R32</f>
        <v>2</v>
      </c>
      <c r="S33" s="99">
        <v>1</v>
      </c>
      <c r="T33" s="102">
        <f>T32</f>
        <v>2</v>
      </c>
      <c r="U33" s="104">
        <f>U32</f>
        <v>4</v>
      </c>
      <c r="V33" s="5" t="s">
        <v>50</v>
      </c>
      <c r="W33" s="102">
        <f>W32</f>
        <v>4</v>
      </c>
      <c r="X33" s="99">
        <v>3</v>
      </c>
      <c r="Y33" s="102">
        <f>Y32</f>
        <v>2</v>
      </c>
      <c r="Z33" s="104">
        <f>Z32</f>
        <v>3</v>
      </c>
    </row>
    <row r="34" spans="1:26" x14ac:dyDescent="0.2">
      <c r="B34" s="5" t="s">
        <v>71</v>
      </c>
      <c r="C34" s="102">
        <f>C32</f>
        <v>2</v>
      </c>
      <c r="D34" s="99">
        <v>2</v>
      </c>
      <c r="E34" s="99">
        <v>4</v>
      </c>
      <c r="F34" s="104">
        <f>F32</f>
        <v>3</v>
      </c>
      <c r="G34" s="5" t="s">
        <v>71</v>
      </c>
      <c r="H34" s="102">
        <f>H32</f>
        <v>2</v>
      </c>
      <c r="I34" s="99">
        <v>1</v>
      </c>
      <c r="J34" s="99">
        <v>3</v>
      </c>
      <c r="K34" s="104">
        <f>K32</f>
        <v>3</v>
      </c>
      <c r="L34" s="5" t="s">
        <v>71</v>
      </c>
      <c r="M34" s="102">
        <f>M32</f>
        <v>2</v>
      </c>
      <c r="N34" s="99">
        <v>3</v>
      </c>
      <c r="O34" s="99">
        <v>1</v>
      </c>
      <c r="P34" s="104">
        <f>P32</f>
        <v>1</v>
      </c>
      <c r="Q34" s="5" t="s">
        <v>71</v>
      </c>
      <c r="R34" s="102">
        <f>R32</f>
        <v>2</v>
      </c>
      <c r="S34" s="99">
        <v>2</v>
      </c>
      <c r="T34" s="99">
        <v>3</v>
      </c>
      <c r="U34" s="104">
        <f>U32</f>
        <v>4</v>
      </c>
      <c r="V34" s="5" t="s">
        <v>71</v>
      </c>
      <c r="W34" s="102">
        <f>W32</f>
        <v>4</v>
      </c>
      <c r="X34" s="99">
        <v>4</v>
      </c>
      <c r="Y34" s="99">
        <v>1</v>
      </c>
      <c r="Z34" s="104">
        <f>Z32</f>
        <v>3</v>
      </c>
    </row>
    <row r="35" spans="1:26" x14ac:dyDescent="0.2">
      <c r="B35" s="5" t="s">
        <v>72</v>
      </c>
      <c r="C35" s="102">
        <f>C32</f>
        <v>2</v>
      </c>
      <c r="D35" s="102">
        <f>D32</f>
        <v>3</v>
      </c>
      <c r="E35" s="102">
        <f>E32</f>
        <v>2</v>
      </c>
      <c r="F35" s="108">
        <v>2</v>
      </c>
      <c r="G35" s="5" t="s">
        <v>72</v>
      </c>
      <c r="H35" s="102">
        <f>H32</f>
        <v>2</v>
      </c>
      <c r="I35" s="102">
        <f>I32</f>
        <v>3</v>
      </c>
      <c r="J35" s="102">
        <f>J32</f>
        <v>1</v>
      </c>
      <c r="K35" s="108">
        <v>2</v>
      </c>
      <c r="L35" s="5" t="s">
        <v>72</v>
      </c>
      <c r="M35" s="102">
        <f>M32</f>
        <v>2</v>
      </c>
      <c r="N35" s="102">
        <f>N32</f>
        <v>2</v>
      </c>
      <c r="O35" s="102">
        <f>O32</f>
        <v>2</v>
      </c>
      <c r="P35" s="108">
        <v>2</v>
      </c>
      <c r="Q35" s="5" t="s">
        <v>72</v>
      </c>
      <c r="R35" s="102">
        <f>R32</f>
        <v>2</v>
      </c>
      <c r="S35" s="102">
        <f>S32</f>
        <v>3</v>
      </c>
      <c r="T35" s="102">
        <f>T32</f>
        <v>2</v>
      </c>
      <c r="U35" s="108">
        <v>1</v>
      </c>
      <c r="V35" s="5" t="s">
        <v>72</v>
      </c>
      <c r="W35" s="102">
        <f>W32</f>
        <v>4</v>
      </c>
      <c r="X35" s="102">
        <f>X32</f>
        <v>2</v>
      </c>
      <c r="Y35" s="102">
        <f>Y32</f>
        <v>2</v>
      </c>
      <c r="Z35" s="108">
        <v>2</v>
      </c>
    </row>
    <row r="36" spans="1:26" ht="15" thickBot="1" x14ac:dyDescent="0.25">
      <c r="B36" s="97" t="s">
        <v>94</v>
      </c>
      <c r="C36" s="103">
        <f>C32</f>
        <v>2</v>
      </c>
      <c r="D36" s="103">
        <f>D32</f>
        <v>3</v>
      </c>
      <c r="E36" s="100">
        <v>3</v>
      </c>
      <c r="F36" s="105">
        <f>F32</f>
        <v>3</v>
      </c>
      <c r="G36" s="97" t="s">
        <v>94</v>
      </c>
      <c r="H36" s="103">
        <f>H32</f>
        <v>2</v>
      </c>
      <c r="I36" s="103">
        <f>I32</f>
        <v>3</v>
      </c>
      <c r="J36" s="100">
        <v>2</v>
      </c>
      <c r="K36" s="105">
        <f>K32</f>
        <v>3</v>
      </c>
      <c r="L36" s="97" t="s">
        <v>94</v>
      </c>
      <c r="M36" s="103">
        <f>M32</f>
        <v>2</v>
      </c>
      <c r="N36" s="103">
        <f>N32</f>
        <v>2</v>
      </c>
      <c r="O36" s="100">
        <v>3</v>
      </c>
      <c r="P36" s="105">
        <f>P32</f>
        <v>1</v>
      </c>
      <c r="Q36" s="97" t="s">
        <v>94</v>
      </c>
      <c r="R36" s="103">
        <f>R32</f>
        <v>2</v>
      </c>
      <c r="S36" s="103">
        <f>S32</f>
        <v>3</v>
      </c>
      <c r="T36" s="100">
        <v>1</v>
      </c>
      <c r="U36" s="105">
        <f>U32</f>
        <v>4</v>
      </c>
      <c r="V36" s="97" t="s">
        <v>94</v>
      </c>
      <c r="W36" s="103">
        <f>W32</f>
        <v>4</v>
      </c>
      <c r="X36" s="103">
        <f>X32</f>
        <v>2</v>
      </c>
      <c r="Y36" s="100">
        <v>1</v>
      </c>
      <c r="Z36" s="105">
        <f>Z32</f>
        <v>3</v>
      </c>
    </row>
    <row r="37" spans="1:26" x14ac:dyDescent="0.2">
      <c r="A37" s="23" t="s">
        <v>116</v>
      </c>
    </row>
    <row r="38" spans="1:26" x14ac:dyDescent="0.2">
      <c r="A38" s="106">
        <v>1.2</v>
      </c>
      <c r="B38" s="106" t="s">
        <v>85</v>
      </c>
      <c r="C38" s="106" t="s">
        <v>79</v>
      </c>
      <c r="D38" s="106" t="s">
        <v>81</v>
      </c>
      <c r="E38" s="106" t="s">
        <v>83</v>
      </c>
      <c r="F38" s="106" t="s">
        <v>78</v>
      </c>
    </row>
    <row r="43" spans="1:26" ht="15" thickBot="1" x14ac:dyDescent="0.25"/>
    <row r="44" spans="1:26" ht="15" x14ac:dyDescent="0.2">
      <c r="A44" s="23" t="s">
        <v>105</v>
      </c>
      <c r="B44" s="24"/>
      <c r="C44" s="101" t="s">
        <v>8</v>
      </c>
      <c r="D44" s="110" t="s">
        <v>7</v>
      </c>
      <c r="E44" s="101" t="s">
        <v>6</v>
      </c>
      <c r="F44" s="93" t="s">
        <v>5</v>
      </c>
      <c r="G44" s="24"/>
      <c r="H44" s="92" t="s">
        <v>8</v>
      </c>
      <c r="I44" s="110" t="s">
        <v>7</v>
      </c>
      <c r="J44" s="110" t="s">
        <v>6</v>
      </c>
      <c r="K44" s="93" t="s">
        <v>5</v>
      </c>
      <c r="L44" s="24"/>
      <c r="M44" s="92" t="s">
        <v>8</v>
      </c>
      <c r="N44" s="110" t="s">
        <v>7</v>
      </c>
      <c r="O44" s="110" t="s">
        <v>6</v>
      </c>
      <c r="P44" s="93" t="s">
        <v>5</v>
      </c>
      <c r="Q44" s="24"/>
      <c r="R44" s="92" t="s">
        <v>8</v>
      </c>
      <c r="S44" s="110" t="s">
        <v>7</v>
      </c>
      <c r="T44" s="110" t="s">
        <v>6</v>
      </c>
      <c r="U44" s="93" t="s">
        <v>5</v>
      </c>
      <c r="V44" s="24"/>
      <c r="W44" s="92" t="s">
        <v>8</v>
      </c>
      <c r="X44" s="110" t="s">
        <v>7</v>
      </c>
      <c r="Y44" s="110" t="s">
        <v>6</v>
      </c>
      <c r="Z44" s="93" t="s">
        <v>5</v>
      </c>
    </row>
    <row r="45" spans="1:26" x14ac:dyDescent="0.2">
      <c r="A45" s="23" t="s">
        <v>107</v>
      </c>
      <c r="B45" s="5"/>
      <c r="C45" t="s">
        <v>0</v>
      </c>
      <c r="D45" t="s">
        <v>87</v>
      </c>
      <c r="E45" t="s">
        <v>86</v>
      </c>
      <c r="F45" s="6" t="s">
        <v>1</v>
      </c>
      <c r="G45" s="5"/>
      <c r="H45" t="s">
        <v>0</v>
      </c>
      <c r="I45" t="s">
        <v>87</v>
      </c>
      <c r="J45" t="s">
        <v>86</v>
      </c>
      <c r="K45" s="6" t="s">
        <v>1</v>
      </c>
      <c r="L45" s="5"/>
      <c r="M45" t="s">
        <v>0</v>
      </c>
      <c r="N45" t="s">
        <v>87</v>
      </c>
      <c r="O45" t="s">
        <v>86</v>
      </c>
      <c r="P45" s="6" t="s">
        <v>1</v>
      </c>
      <c r="Q45" s="5"/>
      <c r="R45" t="s">
        <v>0</v>
      </c>
      <c r="S45" t="s">
        <v>87</v>
      </c>
      <c r="T45" t="s">
        <v>86</v>
      </c>
      <c r="U45" s="6" t="s">
        <v>1</v>
      </c>
      <c r="V45" s="5"/>
      <c r="W45" t="s">
        <v>0</v>
      </c>
      <c r="X45" t="s">
        <v>87</v>
      </c>
      <c r="Y45" t="s">
        <v>86</v>
      </c>
      <c r="Z45" s="6" t="s">
        <v>1</v>
      </c>
    </row>
    <row r="46" spans="1:26" x14ac:dyDescent="0.2">
      <c r="B46" s="94" t="s">
        <v>93</v>
      </c>
      <c r="C46" s="95">
        <v>2</v>
      </c>
      <c r="D46" s="95">
        <v>1</v>
      </c>
      <c r="E46" s="95">
        <v>4</v>
      </c>
      <c r="F46" s="96">
        <v>4</v>
      </c>
      <c r="G46" s="94" t="s">
        <v>93</v>
      </c>
      <c r="H46" s="95">
        <v>2</v>
      </c>
      <c r="I46" s="95">
        <v>1</v>
      </c>
      <c r="J46" s="95">
        <v>1</v>
      </c>
      <c r="K46" s="96">
        <v>2</v>
      </c>
      <c r="L46" s="94" t="s">
        <v>93</v>
      </c>
      <c r="M46" s="95">
        <v>2</v>
      </c>
      <c r="N46" s="95">
        <v>3</v>
      </c>
      <c r="O46" s="95">
        <v>1</v>
      </c>
      <c r="P46" s="96">
        <v>4</v>
      </c>
      <c r="Q46" s="94" t="s">
        <v>93</v>
      </c>
      <c r="R46" s="95">
        <v>4</v>
      </c>
      <c r="S46" s="95">
        <v>3</v>
      </c>
      <c r="T46" s="95">
        <v>2</v>
      </c>
      <c r="U46" s="96">
        <v>3</v>
      </c>
      <c r="V46" s="94" t="s">
        <v>93</v>
      </c>
      <c r="W46" s="95">
        <v>4</v>
      </c>
      <c r="X46" s="95">
        <v>3</v>
      </c>
      <c r="Y46" s="95">
        <v>4</v>
      </c>
      <c r="Z46" s="96">
        <v>4</v>
      </c>
    </row>
    <row r="47" spans="1:26" x14ac:dyDescent="0.2">
      <c r="B47" s="5" t="s">
        <v>50</v>
      </c>
      <c r="C47" s="102">
        <f>C46</f>
        <v>2</v>
      </c>
      <c r="D47" s="99">
        <v>4</v>
      </c>
      <c r="E47" s="102">
        <f>E46</f>
        <v>4</v>
      </c>
      <c r="F47" s="108">
        <v>1</v>
      </c>
      <c r="G47" s="5" t="s">
        <v>50</v>
      </c>
      <c r="H47" s="102">
        <f>H46</f>
        <v>2</v>
      </c>
      <c r="I47" s="99">
        <v>4</v>
      </c>
      <c r="J47" s="102">
        <f>J46</f>
        <v>1</v>
      </c>
      <c r="K47" s="108">
        <v>4</v>
      </c>
      <c r="L47" s="5" t="s">
        <v>50</v>
      </c>
      <c r="M47" s="102">
        <f>M46</f>
        <v>2</v>
      </c>
      <c r="N47" s="99">
        <v>4</v>
      </c>
      <c r="O47" s="102">
        <f>O46</f>
        <v>1</v>
      </c>
      <c r="P47" s="108">
        <v>1</v>
      </c>
      <c r="Q47" s="5" t="s">
        <v>50</v>
      </c>
      <c r="R47" s="102">
        <f>R46</f>
        <v>4</v>
      </c>
      <c r="S47" s="99">
        <v>4</v>
      </c>
      <c r="T47" s="102">
        <f>T46</f>
        <v>2</v>
      </c>
      <c r="U47" s="108">
        <v>4</v>
      </c>
      <c r="V47" s="5" t="s">
        <v>50</v>
      </c>
      <c r="W47" s="102">
        <f>W46</f>
        <v>4</v>
      </c>
      <c r="X47" s="99">
        <v>1</v>
      </c>
      <c r="Y47" s="102">
        <f>Y46</f>
        <v>4</v>
      </c>
      <c r="Z47" s="108">
        <v>3</v>
      </c>
    </row>
    <row r="48" spans="1:26" x14ac:dyDescent="0.2">
      <c r="B48" s="5" t="s">
        <v>71</v>
      </c>
      <c r="C48" s="99">
        <v>1</v>
      </c>
      <c r="D48" s="102">
        <f>D46</f>
        <v>1</v>
      </c>
      <c r="E48" s="102">
        <f>E46</f>
        <v>4</v>
      </c>
      <c r="F48" s="108">
        <v>3</v>
      </c>
      <c r="G48" s="5" t="s">
        <v>71</v>
      </c>
      <c r="H48" s="99">
        <v>3</v>
      </c>
      <c r="I48" s="102">
        <f>I46</f>
        <v>1</v>
      </c>
      <c r="J48" s="102">
        <f>J46</f>
        <v>1</v>
      </c>
      <c r="K48" s="108">
        <v>3</v>
      </c>
      <c r="L48" s="5" t="s">
        <v>71</v>
      </c>
      <c r="M48" s="99">
        <v>3</v>
      </c>
      <c r="N48" s="102">
        <f>N46</f>
        <v>3</v>
      </c>
      <c r="O48" s="102">
        <f>O46</f>
        <v>1</v>
      </c>
      <c r="P48" s="108">
        <v>3</v>
      </c>
      <c r="Q48" s="5" t="s">
        <v>71</v>
      </c>
      <c r="R48" s="99">
        <v>1</v>
      </c>
      <c r="S48" s="102">
        <f>S46</f>
        <v>3</v>
      </c>
      <c r="T48" s="102">
        <f>T46</f>
        <v>2</v>
      </c>
      <c r="U48" s="108">
        <v>1</v>
      </c>
      <c r="V48" s="5" t="s">
        <v>71</v>
      </c>
      <c r="W48" s="99">
        <v>1</v>
      </c>
      <c r="X48" s="102">
        <f>X46</f>
        <v>3</v>
      </c>
      <c r="Y48" s="102">
        <f>Y46</f>
        <v>4</v>
      </c>
      <c r="Z48" s="108">
        <v>2</v>
      </c>
    </row>
    <row r="49" spans="1:26" x14ac:dyDescent="0.2">
      <c r="B49" s="5" t="s">
        <v>72</v>
      </c>
      <c r="C49" s="99">
        <v>4</v>
      </c>
      <c r="D49" s="99">
        <v>3</v>
      </c>
      <c r="E49" s="99">
        <v>3</v>
      </c>
      <c r="F49" s="108">
        <v>2</v>
      </c>
      <c r="G49" s="5" t="s">
        <v>72</v>
      </c>
      <c r="H49" s="99">
        <v>3</v>
      </c>
      <c r="I49" s="99">
        <v>2</v>
      </c>
      <c r="J49" s="99">
        <v>2</v>
      </c>
      <c r="K49" s="108">
        <v>3</v>
      </c>
      <c r="L49" s="5" t="s">
        <v>72</v>
      </c>
      <c r="M49" s="99">
        <v>1</v>
      </c>
      <c r="N49" s="99">
        <v>2</v>
      </c>
      <c r="O49" s="99">
        <v>3</v>
      </c>
      <c r="P49" s="108">
        <v>2</v>
      </c>
      <c r="Q49" s="5" t="s">
        <v>72</v>
      </c>
      <c r="R49" s="99">
        <v>1</v>
      </c>
      <c r="S49" s="99">
        <v>4</v>
      </c>
      <c r="T49" s="99">
        <v>4</v>
      </c>
      <c r="U49" s="108">
        <v>4</v>
      </c>
      <c r="V49" s="5" t="s">
        <v>72</v>
      </c>
      <c r="W49" s="99">
        <v>1</v>
      </c>
      <c r="X49" s="99">
        <v>2</v>
      </c>
      <c r="Y49" s="99">
        <v>3</v>
      </c>
      <c r="Z49" s="108">
        <v>1</v>
      </c>
    </row>
    <row r="50" spans="1:26" ht="15" thickBot="1" x14ac:dyDescent="0.25">
      <c r="B50" s="97" t="s">
        <v>94</v>
      </c>
      <c r="C50" s="100">
        <v>3</v>
      </c>
      <c r="D50" s="100">
        <v>2</v>
      </c>
      <c r="E50" s="100">
        <v>2</v>
      </c>
      <c r="F50" s="105">
        <f>F46</f>
        <v>4</v>
      </c>
      <c r="G50" s="97" t="s">
        <v>94</v>
      </c>
      <c r="H50" s="100">
        <v>1</v>
      </c>
      <c r="I50" s="100">
        <v>2</v>
      </c>
      <c r="J50" s="100">
        <v>3</v>
      </c>
      <c r="K50" s="105">
        <f>K46</f>
        <v>2</v>
      </c>
      <c r="L50" s="97" t="s">
        <v>94</v>
      </c>
      <c r="M50" s="100">
        <v>1</v>
      </c>
      <c r="N50" s="100">
        <v>4</v>
      </c>
      <c r="O50" s="100">
        <v>3</v>
      </c>
      <c r="P50" s="105">
        <f>P46</f>
        <v>4</v>
      </c>
      <c r="Q50" s="97" t="s">
        <v>94</v>
      </c>
      <c r="R50" s="100">
        <v>2</v>
      </c>
      <c r="S50" s="100">
        <v>1</v>
      </c>
      <c r="T50" s="100">
        <v>1</v>
      </c>
      <c r="U50" s="105">
        <f>U46</f>
        <v>3</v>
      </c>
      <c r="V50" s="97" t="s">
        <v>94</v>
      </c>
      <c r="W50" s="100">
        <v>3</v>
      </c>
      <c r="X50" s="100">
        <v>1</v>
      </c>
      <c r="Y50" s="100">
        <v>1</v>
      </c>
      <c r="Z50" s="105">
        <f>Z46</f>
        <v>4</v>
      </c>
    </row>
    <row r="51" spans="1:26" ht="15" x14ac:dyDescent="0.2">
      <c r="A51" s="23" t="s">
        <v>108</v>
      </c>
      <c r="B51" s="24"/>
      <c r="C51" s="92" t="s">
        <v>8</v>
      </c>
      <c r="D51" s="101" t="s">
        <v>7</v>
      </c>
      <c r="E51" s="101" t="s">
        <v>6</v>
      </c>
      <c r="F51" s="113" t="s">
        <v>5</v>
      </c>
      <c r="G51" s="24"/>
      <c r="H51" s="92" t="s">
        <v>8</v>
      </c>
      <c r="I51" s="101" t="s">
        <v>7</v>
      </c>
      <c r="J51" s="101" t="s">
        <v>6</v>
      </c>
      <c r="K51" s="113" t="s">
        <v>5</v>
      </c>
      <c r="L51" s="24"/>
      <c r="M51" s="92" t="s">
        <v>8</v>
      </c>
      <c r="N51" s="101" t="s">
        <v>7</v>
      </c>
      <c r="O51" s="101" t="s">
        <v>6</v>
      </c>
      <c r="P51" s="113" t="s">
        <v>5</v>
      </c>
      <c r="Q51" s="24"/>
      <c r="R51" s="92" t="s">
        <v>8</v>
      </c>
      <c r="S51" s="101" t="s">
        <v>7</v>
      </c>
      <c r="T51" s="101" t="s">
        <v>6</v>
      </c>
      <c r="U51" s="113" t="s">
        <v>5</v>
      </c>
      <c r="V51" s="24"/>
      <c r="W51" s="92" t="s">
        <v>8</v>
      </c>
      <c r="X51" s="101" t="s">
        <v>7</v>
      </c>
      <c r="Y51" s="101" t="s">
        <v>6</v>
      </c>
      <c r="Z51" s="113" t="s">
        <v>5</v>
      </c>
    </row>
    <row r="52" spans="1:26" x14ac:dyDescent="0.2">
      <c r="A52" s="23" t="s">
        <v>109</v>
      </c>
      <c r="B52" s="5"/>
      <c r="C52" t="s">
        <v>0</v>
      </c>
      <c r="D52" t="s">
        <v>87</v>
      </c>
      <c r="E52" t="s">
        <v>86</v>
      </c>
      <c r="F52" s="6" t="s">
        <v>1</v>
      </c>
      <c r="G52" s="5"/>
      <c r="H52" t="s">
        <v>0</v>
      </c>
      <c r="I52" t="s">
        <v>87</v>
      </c>
      <c r="J52" t="s">
        <v>86</v>
      </c>
      <c r="K52" s="6" t="s">
        <v>1</v>
      </c>
      <c r="L52" s="5"/>
      <c r="M52" t="s">
        <v>0</v>
      </c>
      <c r="N52" t="s">
        <v>87</v>
      </c>
      <c r="O52" t="s">
        <v>86</v>
      </c>
      <c r="P52" s="6" t="s">
        <v>1</v>
      </c>
      <c r="Q52" s="5"/>
      <c r="R52" t="s">
        <v>0</v>
      </c>
      <c r="S52" t="s">
        <v>87</v>
      </c>
      <c r="T52" t="s">
        <v>86</v>
      </c>
      <c r="U52" s="6" t="s">
        <v>1</v>
      </c>
      <c r="V52" s="5"/>
      <c r="W52" t="s">
        <v>0</v>
      </c>
      <c r="X52" t="s">
        <v>87</v>
      </c>
      <c r="Y52" t="s">
        <v>86</v>
      </c>
      <c r="Z52" s="6" t="s">
        <v>1</v>
      </c>
    </row>
    <row r="53" spans="1:26" x14ac:dyDescent="0.2">
      <c r="B53" s="94" t="s">
        <v>93</v>
      </c>
      <c r="C53" s="95">
        <v>3</v>
      </c>
      <c r="D53" s="95">
        <v>4</v>
      </c>
      <c r="E53" s="95">
        <v>4</v>
      </c>
      <c r="F53" s="96">
        <v>2</v>
      </c>
      <c r="G53" s="94" t="s">
        <v>93</v>
      </c>
      <c r="H53" s="95">
        <v>4</v>
      </c>
      <c r="I53" s="95">
        <v>3</v>
      </c>
      <c r="J53" s="95">
        <v>3</v>
      </c>
      <c r="K53" s="96">
        <v>2</v>
      </c>
      <c r="L53" s="94" t="s">
        <v>93</v>
      </c>
      <c r="M53" s="95">
        <v>1</v>
      </c>
      <c r="N53" s="95">
        <v>2</v>
      </c>
      <c r="O53" s="95">
        <v>3</v>
      </c>
      <c r="P53" s="96">
        <v>3</v>
      </c>
      <c r="Q53" s="94" t="s">
        <v>93</v>
      </c>
      <c r="R53" s="95">
        <v>1</v>
      </c>
      <c r="S53" s="95">
        <v>1</v>
      </c>
      <c r="T53" s="95">
        <v>1</v>
      </c>
      <c r="U53" s="96">
        <v>4</v>
      </c>
      <c r="V53" s="94" t="s">
        <v>93</v>
      </c>
      <c r="W53" s="95">
        <v>4</v>
      </c>
      <c r="X53" s="95">
        <v>2</v>
      </c>
      <c r="Y53" s="95">
        <v>4</v>
      </c>
      <c r="Z53" s="96">
        <v>3</v>
      </c>
    </row>
    <row r="54" spans="1:26" x14ac:dyDescent="0.2">
      <c r="B54" s="5" t="s">
        <v>50</v>
      </c>
      <c r="C54" s="99">
        <v>2</v>
      </c>
      <c r="D54">
        <f>D53</f>
        <v>4</v>
      </c>
      <c r="E54">
        <f>E53</f>
        <v>4</v>
      </c>
      <c r="F54" s="108">
        <v>3</v>
      </c>
      <c r="G54" s="5" t="s">
        <v>50</v>
      </c>
      <c r="H54" s="99">
        <v>1</v>
      </c>
      <c r="I54">
        <f>I53</f>
        <v>3</v>
      </c>
      <c r="J54">
        <f>J53</f>
        <v>3</v>
      </c>
      <c r="K54" s="108">
        <v>1</v>
      </c>
      <c r="L54" s="5" t="s">
        <v>50</v>
      </c>
      <c r="M54" s="99">
        <v>2</v>
      </c>
      <c r="N54">
        <f>N53</f>
        <v>2</v>
      </c>
      <c r="O54">
        <f>O53</f>
        <v>3</v>
      </c>
      <c r="P54" s="108">
        <v>2</v>
      </c>
      <c r="Q54" s="5" t="s">
        <v>50</v>
      </c>
      <c r="R54" s="99">
        <v>3</v>
      </c>
      <c r="S54">
        <f>S53</f>
        <v>1</v>
      </c>
      <c r="T54">
        <f>T53</f>
        <v>1</v>
      </c>
      <c r="U54" s="108">
        <v>1</v>
      </c>
      <c r="V54" s="5" t="s">
        <v>50</v>
      </c>
      <c r="W54" s="99">
        <v>1</v>
      </c>
      <c r="X54">
        <f>X53</f>
        <v>2</v>
      </c>
      <c r="Y54">
        <f>Y53</f>
        <v>4</v>
      </c>
      <c r="Z54" s="108">
        <v>2</v>
      </c>
    </row>
    <row r="55" spans="1:26" x14ac:dyDescent="0.2">
      <c r="B55" s="5" t="s">
        <v>71</v>
      </c>
      <c r="C55">
        <f>C53</f>
        <v>3</v>
      </c>
      <c r="D55">
        <f>D53</f>
        <v>4</v>
      </c>
      <c r="E55" s="99">
        <v>2</v>
      </c>
      <c r="F55" s="108">
        <v>4</v>
      </c>
      <c r="G55" s="5" t="s">
        <v>71</v>
      </c>
      <c r="H55">
        <f>H53</f>
        <v>4</v>
      </c>
      <c r="I55">
        <f>I53</f>
        <v>3</v>
      </c>
      <c r="J55" s="99">
        <v>1</v>
      </c>
      <c r="K55" s="108">
        <v>3</v>
      </c>
      <c r="L55" s="5" t="s">
        <v>71</v>
      </c>
      <c r="M55">
        <v>3</v>
      </c>
      <c r="N55">
        <f>N53</f>
        <v>2</v>
      </c>
      <c r="O55" s="99">
        <v>1</v>
      </c>
      <c r="P55" s="108">
        <v>1</v>
      </c>
      <c r="Q55" s="5" t="s">
        <v>71</v>
      </c>
      <c r="R55">
        <f>R53</f>
        <v>1</v>
      </c>
      <c r="S55">
        <f>S53</f>
        <v>1</v>
      </c>
      <c r="T55" s="99">
        <v>3</v>
      </c>
      <c r="U55" s="108">
        <v>1</v>
      </c>
      <c r="V55" s="5" t="s">
        <v>71</v>
      </c>
      <c r="W55">
        <f>W53</f>
        <v>4</v>
      </c>
      <c r="X55">
        <f>X53</f>
        <v>2</v>
      </c>
      <c r="Y55" s="99">
        <v>2</v>
      </c>
      <c r="Z55" s="108">
        <v>4</v>
      </c>
    </row>
    <row r="56" spans="1:26" x14ac:dyDescent="0.2">
      <c r="B56" s="5" t="s">
        <v>72</v>
      </c>
      <c r="C56" s="99">
        <v>2</v>
      </c>
      <c r="D56" s="99">
        <v>3</v>
      </c>
      <c r="E56">
        <f>E53</f>
        <v>4</v>
      </c>
      <c r="F56" s="6">
        <f>F53</f>
        <v>2</v>
      </c>
      <c r="G56" s="5" t="s">
        <v>72</v>
      </c>
      <c r="H56" s="99">
        <v>1</v>
      </c>
      <c r="I56" s="99">
        <v>1</v>
      </c>
      <c r="J56">
        <f>J53</f>
        <v>3</v>
      </c>
      <c r="K56" s="6">
        <f>K53</f>
        <v>2</v>
      </c>
      <c r="L56" s="5" t="s">
        <v>72</v>
      </c>
      <c r="M56" s="99">
        <v>3</v>
      </c>
      <c r="N56" s="99">
        <v>3</v>
      </c>
      <c r="O56">
        <f>O53</f>
        <v>3</v>
      </c>
      <c r="P56" s="6">
        <f>P53</f>
        <v>3</v>
      </c>
      <c r="Q56" s="5" t="s">
        <v>72</v>
      </c>
      <c r="R56" s="99">
        <v>2</v>
      </c>
      <c r="S56" s="99">
        <v>2</v>
      </c>
      <c r="T56">
        <f>T53</f>
        <v>1</v>
      </c>
      <c r="U56" s="6">
        <f>U53</f>
        <v>4</v>
      </c>
      <c r="V56" s="5" t="s">
        <v>72</v>
      </c>
      <c r="W56" s="99">
        <v>3</v>
      </c>
      <c r="X56" s="99">
        <v>4</v>
      </c>
      <c r="Y56">
        <f>Y53</f>
        <v>4</v>
      </c>
      <c r="Z56" s="6">
        <f>Z53</f>
        <v>3</v>
      </c>
    </row>
    <row r="57" spans="1:26" ht="15" thickBot="1" x14ac:dyDescent="0.25">
      <c r="B57" s="97" t="s">
        <v>94</v>
      </c>
      <c r="C57" s="100">
        <v>2</v>
      </c>
      <c r="D57" s="114">
        <f>D53</f>
        <v>4</v>
      </c>
      <c r="E57" s="100">
        <v>1</v>
      </c>
      <c r="F57" s="111">
        <v>4</v>
      </c>
      <c r="G57" s="97" t="s">
        <v>94</v>
      </c>
      <c r="H57" s="100">
        <v>3</v>
      </c>
      <c r="I57" s="114">
        <f>I53</f>
        <v>3</v>
      </c>
      <c r="J57" s="100">
        <v>4</v>
      </c>
      <c r="K57" s="111">
        <v>1</v>
      </c>
      <c r="L57" s="97" t="s">
        <v>94</v>
      </c>
      <c r="M57" s="100">
        <v>4</v>
      </c>
      <c r="N57" s="114">
        <f>N53</f>
        <v>2</v>
      </c>
      <c r="O57" s="100">
        <v>1</v>
      </c>
      <c r="P57" s="111">
        <v>2</v>
      </c>
      <c r="Q57" s="97" t="s">
        <v>94</v>
      </c>
      <c r="R57" s="100">
        <v>2</v>
      </c>
      <c r="S57" s="114">
        <f>S53</f>
        <v>1</v>
      </c>
      <c r="T57" s="100">
        <v>4</v>
      </c>
      <c r="U57" s="111">
        <v>1</v>
      </c>
      <c r="V57" s="97" t="s">
        <v>94</v>
      </c>
      <c r="W57" s="100">
        <v>1</v>
      </c>
      <c r="X57" s="114">
        <f>X53</f>
        <v>2</v>
      </c>
      <c r="Y57" s="100">
        <v>1</v>
      </c>
      <c r="Z57" s="111">
        <v>4</v>
      </c>
    </row>
    <row r="58" spans="1:26" ht="15" x14ac:dyDescent="0.2">
      <c r="A58" s="23" t="s">
        <v>110</v>
      </c>
      <c r="B58" s="24"/>
      <c r="C58" s="101" t="s">
        <v>8</v>
      </c>
      <c r="D58" s="110" t="s">
        <v>7</v>
      </c>
      <c r="E58" s="101" t="s">
        <v>6</v>
      </c>
      <c r="F58" s="113" t="s">
        <v>5</v>
      </c>
      <c r="G58" s="24"/>
      <c r="H58" s="101" t="s">
        <v>8</v>
      </c>
      <c r="I58" s="110" t="s">
        <v>7</v>
      </c>
      <c r="J58" s="101" t="s">
        <v>6</v>
      </c>
      <c r="K58" s="113" t="s">
        <v>5</v>
      </c>
      <c r="L58" s="24"/>
      <c r="M58" s="101" t="s">
        <v>8</v>
      </c>
      <c r="N58" s="110" t="s">
        <v>7</v>
      </c>
      <c r="O58" s="101" t="s">
        <v>6</v>
      </c>
      <c r="P58" s="113" t="s">
        <v>5</v>
      </c>
      <c r="Q58" s="24"/>
      <c r="R58" s="101" t="s">
        <v>8</v>
      </c>
      <c r="S58" s="110" t="s">
        <v>7</v>
      </c>
      <c r="T58" s="101" t="s">
        <v>6</v>
      </c>
      <c r="U58" s="113" t="s">
        <v>5</v>
      </c>
      <c r="V58" s="24"/>
      <c r="W58" s="101" t="s">
        <v>8</v>
      </c>
      <c r="X58" s="110" t="s">
        <v>7</v>
      </c>
      <c r="Y58" s="101" t="s">
        <v>6</v>
      </c>
      <c r="Z58" s="113" t="s">
        <v>5</v>
      </c>
    </row>
    <row r="59" spans="1:26" x14ac:dyDescent="0.2">
      <c r="A59" s="23" t="s">
        <v>111</v>
      </c>
      <c r="B59" s="5"/>
      <c r="C59" t="s">
        <v>0</v>
      </c>
      <c r="D59" t="s">
        <v>87</v>
      </c>
      <c r="E59" t="s">
        <v>86</v>
      </c>
      <c r="F59" s="6" t="s">
        <v>1</v>
      </c>
      <c r="G59" s="5"/>
      <c r="H59" t="s">
        <v>0</v>
      </c>
      <c r="I59" t="s">
        <v>87</v>
      </c>
      <c r="J59" t="s">
        <v>86</v>
      </c>
      <c r="K59" s="6" t="s">
        <v>1</v>
      </c>
      <c r="L59" s="5"/>
      <c r="M59" t="s">
        <v>0</v>
      </c>
      <c r="N59" t="s">
        <v>87</v>
      </c>
      <c r="O59" t="s">
        <v>86</v>
      </c>
      <c r="P59" s="6" t="s">
        <v>1</v>
      </c>
      <c r="Q59" s="5"/>
      <c r="R59" t="s">
        <v>0</v>
      </c>
      <c r="S59" t="s">
        <v>87</v>
      </c>
      <c r="T59" t="s">
        <v>86</v>
      </c>
      <c r="U59" s="6" t="s">
        <v>1</v>
      </c>
      <c r="V59" s="5"/>
      <c r="W59" t="s">
        <v>0</v>
      </c>
      <c r="X59" t="s">
        <v>87</v>
      </c>
      <c r="Y59" t="s">
        <v>86</v>
      </c>
      <c r="Z59" s="6" t="s">
        <v>1</v>
      </c>
    </row>
    <row r="60" spans="1:26" x14ac:dyDescent="0.2">
      <c r="B60" s="94" t="s">
        <v>93</v>
      </c>
      <c r="C60" s="95">
        <v>3</v>
      </c>
      <c r="D60" s="95">
        <v>3</v>
      </c>
      <c r="E60" s="95">
        <v>4</v>
      </c>
      <c r="F60" s="96">
        <v>3</v>
      </c>
      <c r="G60" s="94" t="s">
        <v>93</v>
      </c>
      <c r="H60" s="95">
        <v>3</v>
      </c>
      <c r="I60" s="95">
        <v>3</v>
      </c>
      <c r="J60" s="95">
        <v>3</v>
      </c>
      <c r="K60" s="96">
        <v>4</v>
      </c>
      <c r="L60" s="94" t="s">
        <v>93</v>
      </c>
      <c r="M60" s="95">
        <v>3</v>
      </c>
      <c r="N60" s="95">
        <v>4</v>
      </c>
      <c r="O60" s="95">
        <v>1</v>
      </c>
      <c r="P60" s="96">
        <v>3</v>
      </c>
      <c r="Q60" s="94" t="s">
        <v>93</v>
      </c>
      <c r="R60" s="95">
        <v>2</v>
      </c>
      <c r="S60" s="95">
        <v>4</v>
      </c>
      <c r="T60" s="95">
        <v>1</v>
      </c>
      <c r="U60" s="96">
        <v>3</v>
      </c>
      <c r="V60" s="94" t="s">
        <v>93</v>
      </c>
      <c r="W60" s="95">
        <v>4</v>
      </c>
      <c r="X60" s="95">
        <v>4</v>
      </c>
      <c r="Y60" s="95">
        <v>4</v>
      </c>
      <c r="Z60" s="96">
        <v>3</v>
      </c>
    </row>
    <row r="61" spans="1:26" x14ac:dyDescent="0.2">
      <c r="B61" s="5" t="s">
        <v>50</v>
      </c>
      <c r="C61" s="102">
        <f>C60</f>
        <v>3</v>
      </c>
      <c r="D61" s="99">
        <v>4</v>
      </c>
      <c r="E61" s="102">
        <f>E60</f>
        <v>4</v>
      </c>
      <c r="F61" s="108">
        <v>2</v>
      </c>
      <c r="G61" s="5" t="s">
        <v>50</v>
      </c>
      <c r="H61" s="102">
        <f>H60</f>
        <v>3</v>
      </c>
      <c r="I61" s="99">
        <v>4</v>
      </c>
      <c r="J61" s="102">
        <f>J60</f>
        <v>3</v>
      </c>
      <c r="K61" s="108">
        <v>2</v>
      </c>
      <c r="L61" s="5" t="s">
        <v>50</v>
      </c>
      <c r="M61" s="102">
        <f>M60</f>
        <v>3</v>
      </c>
      <c r="N61" s="99">
        <v>2</v>
      </c>
      <c r="O61" s="102">
        <f>O60</f>
        <v>1</v>
      </c>
      <c r="P61" s="108">
        <v>2</v>
      </c>
      <c r="Q61" s="5" t="s">
        <v>50</v>
      </c>
      <c r="R61" s="102">
        <f>R60</f>
        <v>2</v>
      </c>
      <c r="S61" s="99">
        <v>1</v>
      </c>
      <c r="T61" s="102">
        <f>T60</f>
        <v>1</v>
      </c>
      <c r="U61" s="108">
        <v>4</v>
      </c>
      <c r="V61" s="5" t="s">
        <v>50</v>
      </c>
      <c r="W61" s="102">
        <f>W60</f>
        <v>4</v>
      </c>
      <c r="X61" s="99">
        <v>2</v>
      </c>
      <c r="Y61" s="102">
        <f>Y60</f>
        <v>4</v>
      </c>
      <c r="Z61" s="108">
        <v>4</v>
      </c>
    </row>
    <row r="62" spans="1:26" x14ac:dyDescent="0.2">
      <c r="B62" s="5" t="s">
        <v>71</v>
      </c>
      <c r="C62" s="102">
        <f>C60</f>
        <v>3</v>
      </c>
      <c r="D62" s="102">
        <f>D60</f>
        <v>3</v>
      </c>
      <c r="E62" s="99">
        <v>1</v>
      </c>
      <c r="F62" s="104">
        <f>F60</f>
        <v>3</v>
      </c>
      <c r="G62" s="5" t="s">
        <v>71</v>
      </c>
      <c r="H62" s="102">
        <f>H60</f>
        <v>3</v>
      </c>
      <c r="I62" s="102">
        <f>I60</f>
        <v>3</v>
      </c>
      <c r="J62" s="99">
        <v>2</v>
      </c>
      <c r="K62" s="104">
        <f>K60</f>
        <v>4</v>
      </c>
      <c r="L62" s="5" t="s">
        <v>71</v>
      </c>
      <c r="M62" s="102">
        <f>M60</f>
        <v>3</v>
      </c>
      <c r="N62" s="102">
        <f>N60</f>
        <v>4</v>
      </c>
      <c r="O62" s="99">
        <v>4</v>
      </c>
      <c r="P62" s="104">
        <f>P60</f>
        <v>3</v>
      </c>
      <c r="Q62" s="5" t="s">
        <v>71</v>
      </c>
      <c r="R62" s="102">
        <f>R60</f>
        <v>2</v>
      </c>
      <c r="S62" s="102">
        <f>S60</f>
        <v>4</v>
      </c>
      <c r="T62" s="99">
        <v>3</v>
      </c>
      <c r="U62" s="104">
        <f>U60</f>
        <v>3</v>
      </c>
      <c r="V62" s="5" t="s">
        <v>71</v>
      </c>
      <c r="W62" s="102">
        <f>W60</f>
        <v>4</v>
      </c>
      <c r="X62" s="102">
        <f>X60</f>
        <v>4</v>
      </c>
      <c r="Y62" s="99">
        <v>1</v>
      </c>
      <c r="Z62" s="104">
        <f>Z60</f>
        <v>3</v>
      </c>
    </row>
    <row r="63" spans="1:26" x14ac:dyDescent="0.2">
      <c r="B63" s="5" t="s">
        <v>72</v>
      </c>
      <c r="C63" s="102">
        <f>C60</f>
        <v>3</v>
      </c>
      <c r="D63" s="99">
        <v>4</v>
      </c>
      <c r="E63" s="99">
        <v>2</v>
      </c>
      <c r="F63" s="104">
        <f>F60</f>
        <v>3</v>
      </c>
      <c r="G63" s="5" t="s">
        <v>72</v>
      </c>
      <c r="H63" s="102">
        <f>H60</f>
        <v>3</v>
      </c>
      <c r="I63" s="99">
        <v>1</v>
      </c>
      <c r="J63" s="99">
        <v>4</v>
      </c>
      <c r="K63" s="104">
        <f>K60</f>
        <v>4</v>
      </c>
      <c r="L63" s="5" t="s">
        <v>72</v>
      </c>
      <c r="M63" s="102">
        <f>M60</f>
        <v>3</v>
      </c>
      <c r="N63" s="99">
        <v>1</v>
      </c>
      <c r="O63" s="99">
        <v>4</v>
      </c>
      <c r="P63" s="104">
        <f>P60</f>
        <v>3</v>
      </c>
      <c r="Q63" s="5" t="s">
        <v>72</v>
      </c>
      <c r="R63" s="102">
        <f>R60</f>
        <v>2</v>
      </c>
      <c r="S63" s="99">
        <v>1</v>
      </c>
      <c r="T63" s="99">
        <v>2</v>
      </c>
      <c r="U63" s="104">
        <f>U60</f>
        <v>3</v>
      </c>
      <c r="V63" s="5" t="s">
        <v>72</v>
      </c>
      <c r="W63" s="102">
        <f>W60</f>
        <v>4</v>
      </c>
      <c r="X63" s="99">
        <v>2</v>
      </c>
      <c r="Y63" s="99">
        <v>3</v>
      </c>
      <c r="Z63" s="104">
        <f>Z60</f>
        <v>3</v>
      </c>
    </row>
    <row r="64" spans="1:26" ht="15" thickBot="1" x14ac:dyDescent="0.25">
      <c r="B64" s="97" t="s">
        <v>94</v>
      </c>
      <c r="C64" s="100">
        <v>4</v>
      </c>
      <c r="D64" s="103">
        <f>D60</f>
        <v>3</v>
      </c>
      <c r="E64" s="103">
        <f>E60</f>
        <v>4</v>
      </c>
      <c r="F64" s="111">
        <v>4</v>
      </c>
      <c r="G64" s="97" t="s">
        <v>94</v>
      </c>
      <c r="H64" s="100">
        <v>4</v>
      </c>
      <c r="I64" s="103">
        <f>I60</f>
        <v>3</v>
      </c>
      <c r="J64" s="103">
        <f>J60</f>
        <v>3</v>
      </c>
      <c r="K64" s="111">
        <v>1</v>
      </c>
      <c r="L64" s="97" t="s">
        <v>94</v>
      </c>
      <c r="M64" s="100">
        <v>2</v>
      </c>
      <c r="N64" s="103">
        <f>N60</f>
        <v>4</v>
      </c>
      <c r="O64" s="103">
        <f>O60</f>
        <v>1</v>
      </c>
      <c r="P64" s="111">
        <v>4</v>
      </c>
      <c r="Q64" s="97" t="s">
        <v>94</v>
      </c>
      <c r="R64" s="100">
        <v>4</v>
      </c>
      <c r="S64" s="103">
        <f>S60</f>
        <v>4</v>
      </c>
      <c r="T64" s="103">
        <f>T60</f>
        <v>1</v>
      </c>
      <c r="U64" s="111">
        <v>4</v>
      </c>
      <c r="V64" s="97" t="s">
        <v>94</v>
      </c>
      <c r="W64" s="100">
        <v>1</v>
      </c>
      <c r="X64" s="103">
        <f>X60</f>
        <v>4</v>
      </c>
      <c r="Y64" s="103">
        <f>Y60</f>
        <v>4</v>
      </c>
      <c r="Z64" s="11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2AAB5-E775-4D4F-B04D-B55E823D4B14}">
  <dimension ref="A1:P151"/>
  <sheetViews>
    <sheetView rightToLeft="1" tabSelected="1" topLeftCell="A63" workbookViewId="0">
      <selection activeCell="K122" sqref="K122"/>
    </sheetView>
  </sheetViews>
  <sheetFormatPr defaultRowHeight="14.25" x14ac:dyDescent="0.2"/>
  <sheetData>
    <row r="1" spans="1:14" x14ac:dyDescent="0.2">
      <c r="C1" s="23" t="s">
        <v>8</v>
      </c>
      <c r="D1" s="23" t="s">
        <v>7</v>
      </c>
      <c r="E1" s="23" t="s">
        <v>6</v>
      </c>
      <c r="F1" s="23" t="s">
        <v>5</v>
      </c>
    </row>
    <row r="2" spans="1:14" x14ac:dyDescent="0.2">
      <c r="A2" s="23" t="s">
        <v>96</v>
      </c>
      <c r="B2" s="94" t="s">
        <v>93</v>
      </c>
      <c r="C2" s="95">
        <v>4</v>
      </c>
      <c r="D2" s="95">
        <v>1</v>
      </c>
      <c r="E2" s="95">
        <v>4</v>
      </c>
      <c r="F2" s="96">
        <v>2</v>
      </c>
      <c r="G2" t="str">
        <f>_xlfn.CONCAT(C2:F2)</f>
        <v>4142</v>
      </c>
      <c r="H2" s="106" t="s">
        <v>79</v>
      </c>
      <c r="K2" t="s">
        <v>103</v>
      </c>
      <c r="L2" t="s">
        <v>106</v>
      </c>
    </row>
    <row r="3" spans="1:14" x14ac:dyDescent="0.2">
      <c r="A3" s="115"/>
      <c r="B3" s="5" t="s">
        <v>50</v>
      </c>
      <c r="C3" s="99">
        <v>2</v>
      </c>
      <c r="D3">
        <f>D2</f>
        <v>1</v>
      </c>
      <c r="E3">
        <f>E2</f>
        <v>4</v>
      </c>
      <c r="F3" s="6">
        <f>F2</f>
        <v>2</v>
      </c>
      <c r="G3" t="str">
        <f t="shared" ref="G3:G26" si="0">_xlfn.CONCAT(C3:F3)</f>
        <v>2142</v>
      </c>
      <c r="H3" s="106" t="s">
        <v>79</v>
      </c>
      <c r="K3" t="s">
        <v>104</v>
      </c>
      <c r="L3" t="s">
        <v>104</v>
      </c>
    </row>
    <row r="4" spans="1:14" x14ac:dyDescent="0.2">
      <c r="A4" s="115"/>
      <c r="B4" s="5" t="s">
        <v>71</v>
      </c>
      <c r="C4" s="99">
        <v>2</v>
      </c>
      <c r="D4">
        <f>D2</f>
        <v>1</v>
      </c>
      <c r="E4" s="99">
        <v>3</v>
      </c>
      <c r="F4" s="6">
        <f t="shared" ref="F4:F6" si="1">F3</f>
        <v>2</v>
      </c>
      <c r="G4" t="str">
        <f t="shared" si="0"/>
        <v>2132</v>
      </c>
      <c r="H4" s="106" t="s">
        <v>78</v>
      </c>
      <c r="K4" t="s">
        <v>112</v>
      </c>
      <c r="L4" t="s">
        <v>13</v>
      </c>
    </row>
    <row r="5" spans="1:14" x14ac:dyDescent="0.2">
      <c r="A5" s="115"/>
      <c r="B5" s="5" t="s">
        <v>72</v>
      </c>
      <c r="C5">
        <f>C2</f>
        <v>4</v>
      </c>
      <c r="D5" s="99">
        <v>2</v>
      </c>
      <c r="E5">
        <f>E2</f>
        <v>4</v>
      </c>
      <c r="F5" s="6">
        <f t="shared" si="1"/>
        <v>2</v>
      </c>
      <c r="G5" t="str">
        <f t="shared" si="0"/>
        <v>4242</v>
      </c>
      <c r="H5" s="106" t="s">
        <v>81</v>
      </c>
      <c r="K5" t="s">
        <v>113</v>
      </c>
      <c r="L5" t="s">
        <v>14</v>
      </c>
    </row>
    <row r="6" spans="1:14" ht="15" thickBot="1" x14ac:dyDescent="0.25">
      <c r="A6" s="115"/>
      <c r="B6" s="97" t="s">
        <v>94</v>
      </c>
      <c r="C6" s="100">
        <v>3</v>
      </c>
      <c r="D6" s="100">
        <v>4</v>
      </c>
      <c r="E6" s="100">
        <v>2</v>
      </c>
      <c r="F6" s="98">
        <f t="shared" si="1"/>
        <v>2</v>
      </c>
      <c r="G6" t="str">
        <f t="shared" si="0"/>
        <v>3422</v>
      </c>
      <c r="H6" s="106" t="s">
        <v>5</v>
      </c>
      <c r="K6" t="s">
        <v>114</v>
      </c>
      <c r="L6" t="s">
        <v>15</v>
      </c>
      <c r="N6" s="23"/>
    </row>
    <row r="7" spans="1:14" x14ac:dyDescent="0.2">
      <c r="A7" s="116"/>
      <c r="B7" s="94" t="s">
        <v>93</v>
      </c>
      <c r="C7" s="95">
        <v>2</v>
      </c>
      <c r="D7" s="95">
        <v>3</v>
      </c>
      <c r="E7" s="95">
        <v>1</v>
      </c>
      <c r="F7" s="96">
        <v>2</v>
      </c>
      <c r="G7" t="str">
        <f t="shared" si="0"/>
        <v>2312</v>
      </c>
      <c r="H7" s="106" t="s">
        <v>79</v>
      </c>
      <c r="N7" s="23"/>
    </row>
    <row r="8" spans="1:14" x14ac:dyDescent="0.2">
      <c r="A8" s="116"/>
      <c r="B8" s="5" t="s">
        <v>50</v>
      </c>
      <c r="C8" s="99">
        <v>1</v>
      </c>
      <c r="D8">
        <f>D7</f>
        <v>3</v>
      </c>
      <c r="E8">
        <f>E7</f>
        <v>1</v>
      </c>
      <c r="F8" s="6">
        <f>F7</f>
        <v>2</v>
      </c>
      <c r="G8" t="str">
        <f t="shared" si="0"/>
        <v>1312</v>
      </c>
      <c r="H8" s="106" t="s">
        <v>79</v>
      </c>
      <c r="K8" s="23"/>
      <c r="L8" s="23"/>
      <c r="M8" s="23"/>
      <c r="N8" s="23"/>
    </row>
    <row r="9" spans="1:14" x14ac:dyDescent="0.2">
      <c r="A9" s="116"/>
      <c r="B9" s="5" t="s">
        <v>71</v>
      </c>
      <c r="C9" s="99">
        <v>4</v>
      </c>
      <c r="D9">
        <f>D7</f>
        <v>3</v>
      </c>
      <c r="E9" s="99">
        <v>4</v>
      </c>
      <c r="F9" s="6">
        <f t="shared" ref="F9:F11" si="2">F8</f>
        <v>2</v>
      </c>
      <c r="G9" t="str">
        <f t="shared" si="0"/>
        <v>4342</v>
      </c>
      <c r="H9" s="106" t="s">
        <v>78</v>
      </c>
      <c r="K9" s="106"/>
      <c r="L9" s="106"/>
      <c r="M9" s="106"/>
      <c r="N9" s="106"/>
    </row>
    <row r="10" spans="1:14" x14ac:dyDescent="0.2">
      <c r="A10" s="116"/>
      <c r="B10" s="5" t="s">
        <v>72</v>
      </c>
      <c r="C10">
        <f>C7</f>
        <v>2</v>
      </c>
      <c r="D10" s="99">
        <v>1</v>
      </c>
      <c r="E10">
        <f>E7</f>
        <v>1</v>
      </c>
      <c r="F10" s="6">
        <f t="shared" si="2"/>
        <v>2</v>
      </c>
      <c r="G10" t="str">
        <f t="shared" si="0"/>
        <v>2112</v>
      </c>
      <c r="H10" s="106" t="s">
        <v>81</v>
      </c>
    </row>
    <row r="11" spans="1:14" ht="15" thickBot="1" x14ac:dyDescent="0.25">
      <c r="A11" s="116"/>
      <c r="B11" s="97" t="s">
        <v>94</v>
      </c>
      <c r="C11" s="100">
        <v>3</v>
      </c>
      <c r="D11" s="100">
        <v>4</v>
      </c>
      <c r="E11" s="100">
        <v>4</v>
      </c>
      <c r="F11" s="98">
        <f t="shared" si="2"/>
        <v>2</v>
      </c>
      <c r="G11" t="str">
        <f t="shared" si="0"/>
        <v>3442</v>
      </c>
      <c r="H11" s="106" t="s">
        <v>5</v>
      </c>
    </row>
    <row r="12" spans="1:14" x14ac:dyDescent="0.2">
      <c r="A12" s="116"/>
      <c r="B12" s="94" t="s">
        <v>93</v>
      </c>
      <c r="C12" s="95">
        <v>2</v>
      </c>
      <c r="D12" s="95">
        <v>2</v>
      </c>
      <c r="E12" s="95">
        <v>3</v>
      </c>
      <c r="F12" s="96">
        <v>2</v>
      </c>
      <c r="G12" t="str">
        <f t="shared" si="0"/>
        <v>2232</v>
      </c>
      <c r="H12" s="106" t="s">
        <v>79</v>
      </c>
    </row>
    <row r="13" spans="1:14" x14ac:dyDescent="0.2">
      <c r="A13" s="116"/>
      <c r="B13" s="5" t="s">
        <v>50</v>
      </c>
      <c r="C13" s="99">
        <v>3</v>
      </c>
      <c r="D13">
        <f>D12</f>
        <v>2</v>
      </c>
      <c r="E13">
        <f>E12</f>
        <v>3</v>
      </c>
      <c r="F13" s="6">
        <f>F12</f>
        <v>2</v>
      </c>
      <c r="G13" t="str">
        <f t="shared" si="0"/>
        <v>3232</v>
      </c>
      <c r="H13" s="106" t="s">
        <v>79</v>
      </c>
    </row>
    <row r="14" spans="1:14" x14ac:dyDescent="0.2">
      <c r="A14" s="116"/>
      <c r="B14" s="5" t="s">
        <v>71</v>
      </c>
      <c r="C14" s="99">
        <v>1</v>
      </c>
      <c r="D14">
        <f>D12</f>
        <v>2</v>
      </c>
      <c r="E14" s="99">
        <v>4</v>
      </c>
      <c r="F14" s="6">
        <f t="shared" ref="F14:F16" si="3">F13</f>
        <v>2</v>
      </c>
      <c r="G14" t="str">
        <f t="shared" si="0"/>
        <v>1242</v>
      </c>
      <c r="H14" s="106" t="s">
        <v>78</v>
      </c>
    </row>
    <row r="15" spans="1:14" x14ac:dyDescent="0.2">
      <c r="A15" s="116"/>
      <c r="B15" s="5" t="s">
        <v>72</v>
      </c>
      <c r="C15">
        <f>C12</f>
        <v>2</v>
      </c>
      <c r="D15" s="99">
        <v>4</v>
      </c>
      <c r="E15">
        <f>E12</f>
        <v>3</v>
      </c>
      <c r="F15" s="6">
        <f t="shared" si="3"/>
        <v>2</v>
      </c>
      <c r="G15" t="str">
        <f t="shared" si="0"/>
        <v>2432</v>
      </c>
      <c r="H15" s="106" t="s">
        <v>81</v>
      </c>
    </row>
    <row r="16" spans="1:14" ht="15" thickBot="1" x14ac:dyDescent="0.25">
      <c r="A16" s="116"/>
      <c r="B16" s="97" t="s">
        <v>94</v>
      </c>
      <c r="C16" s="100">
        <v>4</v>
      </c>
      <c r="D16" s="100">
        <v>3</v>
      </c>
      <c r="E16" s="100">
        <v>1</v>
      </c>
      <c r="F16" s="98">
        <f t="shared" si="3"/>
        <v>2</v>
      </c>
      <c r="G16" t="str">
        <f t="shared" si="0"/>
        <v>4312</v>
      </c>
      <c r="H16" s="106" t="s">
        <v>5</v>
      </c>
    </row>
    <row r="17" spans="1:16" x14ac:dyDescent="0.2">
      <c r="A17" s="116"/>
      <c r="B17" s="94" t="s">
        <v>93</v>
      </c>
      <c r="C17" s="95">
        <v>1</v>
      </c>
      <c r="D17" s="95">
        <v>3</v>
      </c>
      <c r="E17" s="95">
        <v>1</v>
      </c>
      <c r="F17" s="96">
        <v>2</v>
      </c>
      <c r="G17" t="str">
        <f t="shared" si="0"/>
        <v>1312</v>
      </c>
      <c r="H17" s="106" t="s">
        <v>79</v>
      </c>
    </row>
    <row r="18" spans="1:16" x14ac:dyDescent="0.2">
      <c r="A18" s="116"/>
      <c r="B18" s="5" t="s">
        <v>50</v>
      </c>
      <c r="C18" s="99">
        <v>4</v>
      </c>
      <c r="D18">
        <f>D17</f>
        <v>3</v>
      </c>
      <c r="E18">
        <f>E17</f>
        <v>1</v>
      </c>
      <c r="F18" s="6">
        <f>F17</f>
        <v>2</v>
      </c>
      <c r="G18" t="str">
        <f t="shared" si="0"/>
        <v>4312</v>
      </c>
      <c r="H18" s="106" t="s">
        <v>79</v>
      </c>
      <c r="K18" s="23" t="s">
        <v>50</v>
      </c>
      <c r="L18" s="23" t="s">
        <v>73</v>
      </c>
      <c r="M18" s="23" t="s">
        <v>74</v>
      </c>
      <c r="N18" s="23" t="s">
        <v>75</v>
      </c>
      <c r="O18" s="23" t="s">
        <v>117</v>
      </c>
      <c r="P18" s="23" t="s">
        <v>118</v>
      </c>
    </row>
    <row r="19" spans="1:16" x14ac:dyDescent="0.2">
      <c r="A19" s="116"/>
      <c r="B19" s="5" t="s">
        <v>71</v>
      </c>
      <c r="C19" s="99">
        <v>2</v>
      </c>
      <c r="D19">
        <f>D17</f>
        <v>3</v>
      </c>
      <c r="E19" s="99">
        <v>3</v>
      </c>
      <c r="F19" s="6">
        <f t="shared" ref="F19:F21" si="4">F18</f>
        <v>2</v>
      </c>
      <c r="G19" t="str">
        <f t="shared" si="0"/>
        <v>2332</v>
      </c>
      <c r="H19" s="106" t="s">
        <v>78</v>
      </c>
      <c r="J19" s="107">
        <v>1.2</v>
      </c>
      <c r="K19" s="107" t="s">
        <v>81</v>
      </c>
      <c r="L19" s="107" t="s">
        <v>82</v>
      </c>
      <c r="M19" s="107" t="s">
        <v>83</v>
      </c>
      <c r="N19" s="107" t="s">
        <v>84</v>
      </c>
      <c r="O19" s="107" t="s">
        <v>77</v>
      </c>
      <c r="P19">
        <v>2</v>
      </c>
    </row>
    <row r="20" spans="1:16" x14ac:dyDescent="0.2">
      <c r="A20" s="116"/>
      <c r="B20" s="5" t="s">
        <v>72</v>
      </c>
      <c r="C20">
        <f>C17</f>
        <v>1</v>
      </c>
      <c r="D20" s="99">
        <v>4</v>
      </c>
      <c r="E20">
        <f>E17</f>
        <v>1</v>
      </c>
      <c r="F20" s="6">
        <f t="shared" si="4"/>
        <v>2</v>
      </c>
      <c r="G20" t="str">
        <f t="shared" si="0"/>
        <v>1412</v>
      </c>
      <c r="H20" s="106" t="s">
        <v>81</v>
      </c>
      <c r="J20" s="106">
        <v>1.2</v>
      </c>
      <c r="K20" s="106" t="s">
        <v>85</v>
      </c>
      <c r="L20" s="106" t="s">
        <v>79</v>
      </c>
      <c r="M20" s="106" t="s">
        <v>81</v>
      </c>
      <c r="N20" s="106" t="s">
        <v>83</v>
      </c>
      <c r="O20" s="106" t="s">
        <v>78</v>
      </c>
      <c r="P20">
        <v>3</v>
      </c>
    </row>
    <row r="21" spans="1:16" ht="15" thickBot="1" x14ac:dyDescent="0.25">
      <c r="A21" s="116"/>
      <c r="B21" s="97" t="s">
        <v>94</v>
      </c>
      <c r="C21" s="100">
        <v>2</v>
      </c>
      <c r="D21" s="100">
        <v>2</v>
      </c>
      <c r="E21" s="100">
        <v>2</v>
      </c>
      <c r="F21" s="98">
        <f t="shared" si="4"/>
        <v>2</v>
      </c>
      <c r="G21" t="str">
        <f t="shared" si="0"/>
        <v>2222</v>
      </c>
      <c r="H21" s="106" t="s">
        <v>5</v>
      </c>
      <c r="J21" s="107">
        <v>2.1</v>
      </c>
      <c r="K21" s="107" t="s">
        <v>76</v>
      </c>
      <c r="L21" s="107" t="s">
        <v>79</v>
      </c>
      <c r="M21" s="107">
        <v>0</v>
      </c>
      <c r="N21" s="107" t="s">
        <v>5</v>
      </c>
      <c r="O21" s="107" t="s">
        <v>76</v>
      </c>
      <c r="P21">
        <v>4</v>
      </c>
    </row>
    <row r="22" spans="1:16" x14ac:dyDescent="0.2">
      <c r="A22" s="116"/>
      <c r="B22" s="94" t="s">
        <v>93</v>
      </c>
      <c r="C22" s="95">
        <v>4</v>
      </c>
      <c r="D22" s="95">
        <v>4</v>
      </c>
      <c r="E22" s="95">
        <v>2</v>
      </c>
      <c r="F22" s="96">
        <v>2</v>
      </c>
      <c r="G22" t="str">
        <f t="shared" si="0"/>
        <v>4422</v>
      </c>
      <c r="H22" s="106" t="s">
        <v>79</v>
      </c>
      <c r="J22" s="106">
        <v>2.2999999999999998</v>
      </c>
      <c r="K22" s="106" t="s">
        <v>79</v>
      </c>
      <c r="L22" s="106" t="s">
        <v>80</v>
      </c>
      <c r="M22" s="106" t="s">
        <v>77</v>
      </c>
      <c r="N22" s="106" t="s">
        <v>7</v>
      </c>
      <c r="O22" s="106" t="s">
        <v>79</v>
      </c>
      <c r="P22">
        <v>5</v>
      </c>
    </row>
    <row r="23" spans="1:16" x14ac:dyDescent="0.2">
      <c r="A23" s="116"/>
      <c r="B23" s="5" t="s">
        <v>50</v>
      </c>
      <c r="C23" s="99">
        <v>1</v>
      </c>
      <c r="D23">
        <f>D22</f>
        <v>4</v>
      </c>
      <c r="E23">
        <f>E22</f>
        <v>2</v>
      </c>
      <c r="F23" s="6">
        <f>F22</f>
        <v>2</v>
      </c>
      <c r="G23" t="str">
        <f t="shared" si="0"/>
        <v>1422</v>
      </c>
      <c r="H23" s="106" t="s">
        <v>79</v>
      </c>
      <c r="J23" s="106">
        <v>2.4</v>
      </c>
      <c r="K23" s="106" t="s">
        <v>76</v>
      </c>
      <c r="L23" s="106" t="s">
        <v>84</v>
      </c>
      <c r="M23" s="106" t="s">
        <v>82</v>
      </c>
      <c r="N23" s="106" t="s">
        <v>79</v>
      </c>
      <c r="O23" s="106" t="s">
        <v>76</v>
      </c>
      <c r="P23">
        <v>6</v>
      </c>
    </row>
    <row r="24" spans="1:16" x14ac:dyDescent="0.2">
      <c r="A24" s="116"/>
      <c r="B24" s="5" t="s">
        <v>71</v>
      </c>
      <c r="C24" s="99">
        <v>1</v>
      </c>
      <c r="D24">
        <f>D22</f>
        <v>4</v>
      </c>
      <c r="E24" s="99">
        <v>1</v>
      </c>
      <c r="F24" s="6">
        <f t="shared" ref="F24:F26" si="5">F23</f>
        <v>2</v>
      </c>
      <c r="G24" t="str">
        <f t="shared" si="0"/>
        <v>1412</v>
      </c>
      <c r="H24" s="106" t="s">
        <v>78</v>
      </c>
    </row>
    <row r="25" spans="1:16" x14ac:dyDescent="0.2">
      <c r="A25" s="116"/>
      <c r="B25" s="5" t="s">
        <v>72</v>
      </c>
      <c r="C25">
        <f>C22</f>
        <v>4</v>
      </c>
      <c r="D25" s="99">
        <v>1</v>
      </c>
      <c r="E25">
        <f>E22</f>
        <v>2</v>
      </c>
      <c r="F25" s="6">
        <f t="shared" si="5"/>
        <v>2</v>
      </c>
      <c r="G25" t="str">
        <f t="shared" si="0"/>
        <v>4122</v>
      </c>
      <c r="H25" s="106" t="s">
        <v>81</v>
      </c>
    </row>
    <row r="26" spans="1:16" ht="15" thickBot="1" x14ac:dyDescent="0.25">
      <c r="A26" s="116"/>
      <c r="B26" s="97" t="s">
        <v>94</v>
      </c>
      <c r="C26" s="100">
        <v>1</v>
      </c>
      <c r="D26" s="100">
        <v>1</v>
      </c>
      <c r="E26" s="100">
        <v>1</v>
      </c>
      <c r="F26" s="98">
        <f t="shared" si="5"/>
        <v>2</v>
      </c>
      <c r="G26" t="str">
        <f t="shared" si="0"/>
        <v>1112</v>
      </c>
      <c r="H26" s="106" t="s">
        <v>5</v>
      </c>
    </row>
    <row r="27" spans="1:16" x14ac:dyDescent="0.2">
      <c r="A27" s="117" t="s">
        <v>97</v>
      </c>
      <c r="B27" s="94" t="s">
        <v>106</v>
      </c>
      <c r="C27" s="95">
        <v>2</v>
      </c>
      <c r="D27" s="95">
        <v>3</v>
      </c>
      <c r="E27" s="95">
        <v>2</v>
      </c>
      <c r="F27" s="96">
        <v>3</v>
      </c>
      <c r="G27" t="str">
        <f t="shared" ref="G27:G51" si="6">_xlfn.CONCAT(C27:F27)</f>
        <v>2323</v>
      </c>
      <c r="H27" s="107" t="s">
        <v>77</v>
      </c>
    </row>
    <row r="28" spans="1:16" x14ac:dyDescent="0.2">
      <c r="A28" s="117"/>
      <c r="B28" s="5" t="s">
        <v>104</v>
      </c>
      <c r="C28" s="102">
        <f>C27</f>
        <v>2</v>
      </c>
      <c r="D28" s="99">
        <v>4</v>
      </c>
      <c r="E28" s="102">
        <f>E27</f>
        <v>2</v>
      </c>
      <c r="F28" s="104">
        <f>F27</f>
        <v>3</v>
      </c>
      <c r="G28" t="str">
        <f t="shared" si="6"/>
        <v>2423</v>
      </c>
      <c r="H28" s="107" t="s">
        <v>81</v>
      </c>
    </row>
    <row r="29" spans="1:16" x14ac:dyDescent="0.2">
      <c r="A29" s="117"/>
      <c r="B29" s="5" t="s">
        <v>112</v>
      </c>
      <c r="C29" s="102">
        <f>C27</f>
        <v>2</v>
      </c>
      <c r="D29" s="99">
        <v>2</v>
      </c>
      <c r="E29" s="99">
        <v>4</v>
      </c>
      <c r="F29" s="104">
        <f>F27</f>
        <v>3</v>
      </c>
      <c r="G29" t="str">
        <f t="shared" si="6"/>
        <v>2243</v>
      </c>
      <c r="H29" s="107" t="s">
        <v>82</v>
      </c>
    </row>
    <row r="30" spans="1:16" x14ac:dyDescent="0.2">
      <c r="A30" s="117"/>
      <c r="B30" s="5" t="s">
        <v>113</v>
      </c>
      <c r="C30" s="102">
        <f>C27</f>
        <v>2</v>
      </c>
      <c r="D30" s="102">
        <f>D27</f>
        <v>3</v>
      </c>
      <c r="E30" s="102">
        <f>E27</f>
        <v>2</v>
      </c>
      <c r="F30" s="108">
        <v>2</v>
      </c>
      <c r="G30" t="str">
        <f t="shared" si="6"/>
        <v>2322</v>
      </c>
      <c r="H30" s="107" t="s">
        <v>83</v>
      </c>
    </row>
    <row r="31" spans="1:16" ht="15" thickBot="1" x14ac:dyDescent="0.25">
      <c r="A31" s="117"/>
      <c r="B31" s="97" t="s">
        <v>114</v>
      </c>
      <c r="C31" s="103">
        <f>C27</f>
        <v>2</v>
      </c>
      <c r="D31" s="103">
        <f>D27</f>
        <v>3</v>
      </c>
      <c r="E31" s="100">
        <v>3</v>
      </c>
      <c r="F31" s="105">
        <f>F27</f>
        <v>3</v>
      </c>
      <c r="G31" t="str">
        <f t="shared" si="6"/>
        <v>2333</v>
      </c>
      <c r="H31" s="107" t="s">
        <v>84</v>
      </c>
    </row>
    <row r="32" spans="1:16" x14ac:dyDescent="0.2">
      <c r="A32" s="80"/>
      <c r="B32" s="94" t="s">
        <v>106</v>
      </c>
      <c r="C32" s="95">
        <v>2</v>
      </c>
      <c r="D32" s="95">
        <v>3</v>
      </c>
      <c r="E32" s="95">
        <v>1</v>
      </c>
      <c r="F32" s="96">
        <v>3</v>
      </c>
      <c r="G32" t="str">
        <f t="shared" si="6"/>
        <v>2313</v>
      </c>
      <c r="H32" s="107" t="s">
        <v>77</v>
      </c>
    </row>
    <row r="33" spans="1:8" x14ac:dyDescent="0.2">
      <c r="A33" s="80"/>
      <c r="B33" s="5" t="s">
        <v>104</v>
      </c>
      <c r="C33" s="102">
        <f>C32</f>
        <v>2</v>
      </c>
      <c r="D33" s="99">
        <v>4</v>
      </c>
      <c r="E33" s="102">
        <f>E32</f>
        <v>1</v>
      </c>
      <c r="F33" s="104">
        <f>F32</f>
        <v>3</v>
      </c>
      <c r="G33" t="str">
        <f t="shared" si="6"/>
        <v>2413</v>
      </c>
      <c r="H33" s="107" t="s">
        <v>81</v>
      </c>
    </row>
    <row r="34" spans="1:8" x14ac:dyDescent="0.2">
      <c r="A34" s="80"/>
      <c r="B34" s="5" t="s">
        <v>112</v>
      </c>
      <c r="C34" s="102">
        <f>C32</f>
        <v>2</v>
      </c>
      <c r="D34" s="99">
        <v>1</v>
      </c>
      <c r="E34" s="99">
        <v>3</v>
      </c>
      <c r="F34" s="104">
        <f>F32</f>
        <v>3</v>
      </c>
      <c r="G34" t="str">
        <f t="shared" si="6"/>
        <v>2133</v>
      </c>
      <c r="H34" s="107" t="s">
        <v>82</v>
      </c>
    </row>
    <row r="35" spans="1:8" x14ac:dyDescent="0.2">
      <c r="A35" s="80"/>
      <c r="B35" s="5" t="s">
        <v>113</v>
      </c>
      <c r="C35" s="102">
        <f>C32</f>
        <v>2</v>
      </c>
      <c r="D35" s="102">
        <f>D32</f>
        <v>3</v>
      </c>
      <c r="E35" s="102">
        <f>E32</f>
        <v>1</v>
      </c>
      <c r="F35" s="108">
        <v>2</v>
      </c>
      <c r="G35" t="str">
        <f t="shared" si="6"/>
        <v>2312</v>
      </c>
      <c r="H35" s="107" t="s">
        <v>83</v>
      </c>
    </row>
    <row r="36" spans="1:8" ht="15" thickBot="1" x14ac:dyDescent="0.25">
      <c r="A36" s="80"/>
      <c r="B36" s="97" t="s">
        <v>114</v>
      </c>
      <c r="C36" s="103">
        <f>C32</f>
        <v>2</v>
      </c>
      <c r="D36" s="103">
        <f>D32</f>
        <v>3</v>
      </c>
      <c r="E36" s="100">
        <v>2</v>
      </c>
      <c r="F36" s="105">
        <f>F32</f>
        <v>3</v>
      </c>
      <c r="G36" t="str">
        <f t="shared" si="6"/>
        <v>2323</v>
      </c>
      <c r="H36" s="107" t="s">
        <v>84</v>
      </c>
    </row>
    <row r="37" spans="1:8" x14ac:dyDescent="0.2">
      <c r="A37" s="80"/>
      <c r="B37" s="94" t="s">
        <v>106</v>
      </c>
      <c r="C37" s="95">
        <v>2</v>
      </c>
      <c r="D37" s="95">
        <v>2</v>
      </c>
      <c r="E37" s="95">
        <v>2</v>
      </c>
      <c r="F37" s="96">
        <v>1</v>
      </c>
      <c r="G37" t="str">
        <f t="shared" si="6"/>
        <v>2221</v>
      </c>
      <c r="H37" s="107" t="s">
        <v>77</v>
      </c>
    </row>
    <row r="38" spans="1:8" x14ac:dyDescent="0.2">
      <c r="A38" s="80"/>
      <c r="B38" s="5" t="s">
        <v>104</v>
      </c>
      <c r="C38" s="102">
        <f>C37</f>
        <v>2</v>
      </c>
      <c r="D38" s="99">
        <v>3</v>
      </c>
      <c r="E38" s="102">
        <f>E37</f>
        <v>2</v>
      </c>
      <c r="F38" s="104">
        <f>F37</f>
        <v>1</v>
      </c>
      <c r="G38" t="str">
        <f t="shared" si="6"/>
        <v>2321</v>
      </c>
      <c r="H38" s="107" t="s">
        <v>81</v>
      </c>
    </row>
    <row r="39" spans="1:8" x14ac:dyDescent="0.2">
      <c r="A39" s="80"/>
      <c r="B39" s="5" t="s">
        <v>112</v>
      </c>
      <c r="C39" s="102">
        <f>C37</f>
        <v>2</v>
      </c>
      <c r="D39" s="99">
        <v>3</v>
      </c>
      <c r="E39" s="99">
        <v>1</v>
      </c>
      <c r="F39" s="104">
        <f>F37</f>
        <v>1</v>
      </c>
      <c r="G39" t="str">
        <f t="shared" si="6"/>
        <v>2311</v>
      </c>
      <c r="H39" s="107" t="s">
        <v>82</v>
      </c>
    </row>
    <row r="40" spans="1:8" x14ac:dyDescent="0.2">
      <c r="A40" s="80"/>
      <c r="B40" s="5" t="s">
        <v>113</v>
      </c>
      <c r="C40" s="102">
        <f>C37</f>
        <v>2</v>
      </c>
      <c r="D40" s="102">
        <f>D37</f>
        <v>2</v>
      </c>
      <c r="E40" s="102">
        <f>E37</f>
        <v>2</v>
      </c>
      <c r="F40" s="108">
        <v>2</v>
      </c>
      <c r="G40" t="str">
        <f t="shared" si="6"/>
        <v>2222</v>
      </c>
      <c r="H40" s="107" t="s">
        <v>83</v>
      </c>
    </row>
    <row r="41" spans="1:8" ht="15" thickBot="1" x14ac:dyDescent="0.25">
      <c r="A41" s="80"/>
      <c r="B41" s="97" t="s">
        <v>114</v>
      </c>
      <c r="C41" s="103">
        <f>C37</f>
        <v>2</v>
      </c>
      <c r="D41" s="103">
        <f>D37</f>
        <v>2</v>
      </c>
      <c r="E41" s="100">
        <v>3</v>
      </c>
      <c r="F41" s="105">
        <f>F37</f>
        <v>1</v>
      </c>
      <c r="G41" t="str">
        <f t="shared" si="6"/>
        <v>2231</v>
      </c>
      <c r="H41" s="107" t="s">
        <v>84</v>
      </c>
    </row>
    <row r="42" spans="1:8" x14ac:dyDescent="0.2">
      <c r="A42" s="80"/>
      <c r="B42" s="94" t="s">
        <v>106</v>
      </c>
      <c r="C42" s="95">
        <v>2</v>
      </c>
      <c r="D42" s="95">
        <v>3</v>
      </c>
      <c r="E42" s="95">
        <v>2</v>
      </c>
      <c r="F42" s="96">
        <v>4</v>
      </c>
      <c r="G42" t="str">
        <f t="shared" si="6"/>
        <v>2324</v>
      </c>
      <c r="H42" s="107" t="s">
        <v>77</v>
      </c>
    </row>
    <row r="43" spans="1:8" x14ac:dyDescent="0.2">
      <c r="A43" s="80"/>
      <c r="B43" s="5" t="s">
        <v>104</v>
      </c>
      <c r="C43" s="102">
        <f>C42</f>
        <v>2</v>
      </c>
      <c r="D43" s="99">
        <v>1</v>
      </c>
      <c r="E43" s="102">
        <f>E42</f>
        <v>2</v>
      </c>
      <c r="F43" s="104">
        <f>F42</f>
        <v>4</v>
      </c>
      <c r="G43" t="str">
        <f t="shared" si="6"/>
        <v>2124</v>
      </c>
      <c r="H43" s="107" t="s">
        <v>81</v>
      </c>
    </row>
    <row r="44" spans="1:8" x14ac:dyDescent="0.2">
      <c r="A44" s="80"/>
      <c r="B44" s="5" t="s">
        <v>112</v>
      </c>
      <c r="C44" s="102">
        <f>C42</f>
        <v>2</v>
      </c>
      <c r="D44" s="99">
        <v>2</v>
      </c>
      <c r="E44" s="99">
        <v>3</v>
      </c>
      <c r="F44" s="104">
        <f>F42</f>
        <v>4</v>
      </c>
      <c r="G44" t="str">
        <f t="shared" si="6"/>
        <v>2234</v>
      </c>
      <c r="H44" s="107" t="s">
        <v>82</v>
      </c>
    </row>
    <row r="45" spans="1:8" x14ac:dyDescent="0.2">
      <c r="A45" s="80"/>
      <c r="B45" s="5" t="s">
        <v>113</v>
      </c>
      <c r="C45" s="102">
        <f>C42</f>
        <v>2</v>
      </c>
      <c r="D45" s="102">
        <f>D42</f>
        <v>3</v>
      </c>
      <c r="E45" s="102">
        <f>E42</f>
        <v>2</v>
      </c>
      <c r="F45" s="108">
        <v>1</v>
      </c>
      <c r="G45" t="str">
        <f t="shared" si="6"/>
        <v>2321</v>
      </c>
      <c r="H45" s="107" t="s">
        <v>83</v>
      </c>
    </row>
    <row r="46" spans="1:8" ht="15" thickBot="1" x14ac:dyDescent="0.25">
      <c r="A46" s="80"/>
      <c r="B46" s="97" t="s">
        <v>114</v>
      </c>
      <c r="C46" s="103">
        <f>C42</f>
        <v>2</v>
      </c>
      <c r="D46" s="103">
        <f>D42</f>
        <v>3</v>
      </c>
      <c r="E46" s="100">
        <v>1</v>
      </c>
      <c r="F46" s="105">
        <f>F42</f>
        <v>4</v>
      </c>
      <c r="G46" t="str">
        <f t="shared" si="6"/>
        <v>2314</v>
      </c>
      <c r="H46" s="107" t="s">
        <v>84</v>
      </c>
    </row>
    <row r="47" spans="1:8" x14ac:dyDescent="0.2">
      <c r="A47" s="80"/>
      <c r="B47" s="94" t="s">
        <v>106</v>
      </c>
      <c r="C47" s="95">
        <v>4</v>
      </c>
      <c r="D47" s="95">
        <v>2</v>
      </c>
      <c r="E47" s="95">
        <v>2</v>
      </c>
      <c r="F47" s="96">
        <v>3</v>
      </c>
      <c r="G47" t="str">
        <f t="shared" si="6"/>
        <v>4223</v>
      </c>
      <c r="H47" s="107" t="s">
        <v>77</v>
      </c>
    </row>
    <row r="48" spans="1:8" x14ac:dyDescent="0.2">
      <c r="A48" s="80"/>
      <c r="B48" s="5" t="s">
        <v>104</v>
      </c>
      <c r="C48" s="102">
        <f>C47</f>
        <v>4</v>
      </c>
      <c r="D48" s="99">
        <v>3</v>
      </c>
      <c r="E48" s="102">
        <f>E47</f>
        <v>2</v>
      </c>
      <c r="F48" s="104">
        <f>F47</f>
        <v>3</v>
      </c>
      <c r="G48" t="str">
        <f t="shared" si="6"/>
        <v>4323</v>
      </c>
      <c r="H48" s="107" t="s">
        <v>81</v>
      </c>
    </row>
    <row r="49" spans="1:8" x14ac:dyDescent="0.2">
      <c r="A49" s="80"/>
      <c r="B49" s="5" t="s">
        <v>112</v>
      </c>
      <c r="C49" s="102">
        <f>C47</f>
        <v>4</v>
      </c>
      <c r="D49" s="99">
        <v>4</v>
      </c>
      <c r="E49" s="99">
        <v>1</v>
      </c>
      <c r="F49" s="104">
        <f>F47</f>
        <v>3</v>
      </c>
      <c r="G49" t="str">
        <f t="shared" si="6"/>
        <v>4413</v>
      </c>
      <c r="H49" s="107" t="s">
        <v>82</v>
      </c>
    </row>
    <row r="50" spans="1:8" x14ac:dyDescent="0.2">
      <c r="A50" s="80"/>
      <c r="B50" s="5" t="s">
        <v>113</v>
      </c>
      <c r="C50" s="102">
        <f>C47</f>
        <v>4</v>
      </c>
      <c r="D50" s="102">
        <f>D47</f>
        <v>2</v>
      </c>
      <c r="E50" s="102">
        <f>E47</f>
        <v>2</v>
      </c>
      <c r="F50" s="108">
        <v>2</v>
      </c>
      <c r="G50" t="str">
        <f t="shared" si="6"/>
        <v>4222</v>
      </c>
      <c r="H50" s="107" t="s">
        <v>83</v>
      </c>
    </row>
    <row r="51" spans="1:8" ht="15" thickBot="1" x14ac:dyDescent="0.25">
      <c r="A51" s="80"/>
      <c r="B51" s="97" t="s">
        <v>114</v>
      </c>
      <c r="C51" s="103">
        <f>C47</f>
        <v>4</v>
      </c>
      <c r="D51" s="103">
        <f>D47</f>
        <v>2</v>
      </c>
      <c r="E51" s="100">
        <v>1</v>
      </c>
      <c r="F51" s="105">
        <f>F47</f>
        <v>3</v>
      </c>
      <c r="G51" t="str">
        <f t="shared" si="6"/>
        <v>4213</v>
      </c>
      <c r="H51" s="107" t="s">
        <v>84</v>
      </c>
    </row>
    <row r="52" spans="1:8" x14ac:dyDescent="0.2">
      <c r="A52" s="33" t="s">
        <v>115</v>
      </c>
      <c r="B52" s="94" t="s">
        <v>106</v>
      </c>
      <c r="C52" s="95">
        <v>3</v>
      </c>
      <c r="D52" s="95">
        <v>3</v>
      </c>
      <c r="E52" s="95">
        <v>1</v>
      </c>
      <c r="F52" s="96">
        <v>4</v>
      </c>
      <c r="G52" t="str">
        <f t="shared" ref="G52:G96" si="7">_xlfn.CONCAT(C52:F52)</f>
        <v>3314</v>
      </c>
      <c r="H52" s="106" t="s">
        <v>78</v>
      </c>
    </row>
    <row r="53" spans="1:8" x14ac:dyDescent="0.2">
      <c r="A53" s="33"/>
      <c r="B53" s="5" t="s">
        <v>104</v>
      </c>
      <c r="C53" s="99">
        <v>1</v>
      </c>
      <c r="D53" s="102">
        <f>D52</f>
        <v>3</v>
      </c>
      <c r="E53" s="102">
        <f>E52</f>
        <v>1</v>
      </c>
      <c r="F53" s="104">
        <f>F52</f>
        <v>4</v>
      </c>
      <c r="G53" t="str">
        <f t="shared" si="7"/>
        <v>1314</v>
      </c>
      <c r="H53" s="106" t="s">
        <v>85</v>
      </c>
    </row>
    <row r="54" spans="1:8" x14ac:dyDescent="0.2">
      <c r="A54" s="33"/>
      <c r="B54" s="5" t="s">
        <v>112</v>
      </c>
      <c r="C54" s="99">
        <v>4</v>
      </c>
      <c r="D54" s="102">
        <f>D52</f>
        <v>3</v>
      </c>
      <c r="E54" s="102">
        <f>E52</f>
        <v>1</v>
      </c>
      <c r="F54" s="108">
        <v>1</v>
      </c>
      <c r="G54" t="str">
        <f t="shared" si="7"/>
        <v>4311</v>
      </c>
      <c r="H54" s="106" t="s">
        <v>79</v>
      </c>
    </row>
    <row r="55" spans="1:8" x14ac:dyDescent="0.2">
      <c r="A55" s="33"/>
      <c r="B55" s="5" t="s">
        <v>113</v>
      </c>
      <c r="C55" s="102">
        <f>C52</f>
        <v>3</v>
      </c>
      <c r="D55" s="99">
        <v>4</v>
      </c>
      <c r="E55" s="102">
        <f>E52</f>
        <v>1</v>
      </c>
      <c r="F55" s="104">
        <f>F52</f>
        <v>4</v>
      </c>
      <c r="G55" t="str">
        <f t="shared" si="7"/>
        <v>3414</v>
      </c>
      <c r="H55" s="106" t="s">
        <v>81</v>
      </c>
    </row>
    <row r="56" spans="1:8" ht="15" thickBot="1" x14ac:dyDescent="0.25">
      <c r="A56" s="33"/>
      <c r="B56" s="97" t="s">
        <v>114</v>
      </c>
      <c r="C56" s="103">
        <f>C52</f>
        <v>3</v>
      </c>
      <c r="D56" s="103">
        <f>D52</f>
        <v>3</v>
      </c>
      <c r="E56" s="103">
        <f>E52</f>
        <v>1</v>
      </c>
      <c r="F56" s="111">
        <v>1</v>
      </c>
      <c r="G56" t="str">
        <f t="shared" si="7"/>
        <v>3311</v>
      </c>
      <c r="H56" s="106" t="s">
        <v>83</v>
      </c>
    </row>
    <row r="57" spans="1:8" x14ac:dyDescent="0.2">
      <c r="A57" s="32"/>
      <c r="B57" s="94" t="s">
        <v>106</v>
      </c>
      <c r="C57" s="95">
        <v>1</v>
      </c>
      <c r="D57" s="95">
        <v>2</v>
      </c>
      <c r="E57" s="95">
        <v>3</v>
      </c>
      <c r="F57" s="96">
        <v>1</v>
      </c>
      <c r="G57" t="str">
        <f t="shared" si="7"/>
        <v>1231</v>
      </c>
      <c r="H57" s="106" t="s">
        <v>78</v>
      </c>
    </row>
    <row r="58" spans="1:8" x14ac:dyDescent="0.2">
      <c r="A58" s="32"/>
      <c r="B58" s="5" t="s">
        <v>104</v>
      </c>
      <c r="C58" s="99">
        <v>3</v>
      </c>
      <c r="D58" s="102">
        <f>D57</f>
        <v>2</v>
      </c>
      <c r="E58" s="102">
        <f>E57</f>
        <v>3</v>
      </c>
      <c r="F58" s="104">
        <f>F57</f>
        <v>1</v>
      </c>
      <c r="G58" t="str">
        <f t="shared" si="7"/>
        <v>3231</v>
      </c>
      <c r="H58" s="106" t="s">
        <v>85</v>
      </c>
    </row>
    <row r="59" spans="1:8" x14ac:dyDescent="0.2">
      <c r="A59" s="32"/>
      <c r="B59" s="5" t="s">
        <v>112</v>
      </c>
      <c r="C59" s="99">
        <v>4</v>
      </c>
      <c r="D59" s="102">
        <f>D57</f>
        <v>2</v>
      </c>
      <c r="E59" s="102">
        <f>E57</f>
        <v>3</v>
      </c>
      <c r="F59" s="108">
        <v>2</v>
      </c>
      <c r="G59" t="str">
        <f t="shared" si="7"/>
        <v>4232</v>
      </c>
      <c r="H59" s="106" t="s">
        <v>79</v>
      </c>
    </row>
    <row r="60" spans="1:8" x14ac:dyDescent="0.2">
      <c r="A60" s="32"/>
      <c r="B60" s="5" t="s">
        <v>113</v>
      </c>
      <c r="C60" s="102">
        <f>C57</f>
        <v>1</v>
      </c>
      <c r="D60" s="99">
        <v>4</v>
      </c>
      <c r="E60" s="102">
        <f>E57</f>
        <v>3</v>
      </c>
      <c r="F60" s="104">
        <f>F57</f>
        <v>1</v>
      </c>
      <c r="G60" t="str">
        <f t="shared" si="7"/>
        <v>1431</v>
      </c>
      <c r="H60" s="106" t="s">
        <v>81</v>
      </c>
    </row>
    <row r="61" spans="1:8" ht="15" thickBot="1" x14ac:dyDescent="0.25">
      <c r="A61" s="32"/>
      <c r="B61" s="97" t="s">
        <v>114</v>
      </c>
      <c r="C61" s="103">
        <f>C57</f>
        <v>1</v>
      </c>
      <c r="D61" s="103">
        <f>D57</f>
        <v>2</v>
      </c>
      <c r="E61" s="103">
        <f>E57</f>
        <v>3</v>
      </c>
      <c r="F61" s="111">
        <v>3</v>
      </c>
      <c r="G61" t="str">
        <f t="shared" si="7"/>
        <v>1233</v>
      </c>
      <c r="H61" s="106" t="s">
        <v>83</v>
      </c>
    </row>
    <row r="62" spans="1:8" x14ac:dyDescent="0.2">
      <c r="A62" s="32"/>
      <c r="B62" s="94" t="s">
        <v>106</v>
      </c>
      <c r="C62" s="95">
        <v>2</v>
      </c>
      <c r="D62" s="95">
        <v>2</v>
      </c>
      <c r="E62" s="95">
        <v>4</v>
      </c>
      <c r="F62" s="96">
        <v>4</v>
      </c>
      <c r="G62" t="str">
        <f t="shared" si="7"/>
        <v>2244</v>
      </c>
      <c r="H62" s="106" t="s">
        <v>78</v>
      </c>
    </row>
    <row r="63" spans="1:8" x14ac:dyDescent="0.2">
      <c r="A63" s="32"/>
      <c r="B63" s="5" t="s">
        <v>104</v>
      </c>
      <c r="C63" s="99">
        <v>1</v>
      </c>
      <c r="D63" s="102">
        <f>D62</f>
        <v>2</v>
      </c>
      <c r="E63" s="102">
        <f>E62</f>
        <v>4</v>
      </c>
      <c r="F63" s="104">
        <f>F62</f>
        <v>4</v>
      </c>
      <c r="G63" t="str">
        <f t="shared" si="7"/>
        <v>1244</v>
      </c>
      <c r="H63" s="106" t="s">
        <v>85</v>
      </c>
    </row>
    <row r="64" spans="1:8" x14ac:dyDescent="0.2">
      <c r="A64" s="32"/>
      <c r="B64" s="5" t="s">
        <v>112</v>
      </c>
      <c r="C64" s="99">
        <v>4</v>
      </c>
      <c r="D64" s="102">
        <f>D62</f>
        <v>2</v>
      </c>
      <c r="E64" s="102">
        <f>E62</f>
        <v>4</v>
      </c>
      <c r="F64" s="108">
        <v>2</v>
      </c>
      <c r="G64" t="str">
        <f t="shared" si="7"/>
        <v>4242</v>
      </c>
      <c r="H64" s="106" t="s">
        <v>79</v>
      </c>
    </row>
    <row r="65" spans="1:8" x14ac:dyDescent="0.2">
      <c r="A65" s="32"/>
      <c r="B65" s="5" t="s">
        <v>113</v>
      </c>
      <c r="C65" s="102">
        <f>C62</f>
        <v>2</v>
      </c>
      <c r="D65" s="99">
        <v>3</v>
      </c>
      <c r="E65" s="102">
        <f>E62</f>
        <v>4</v>
      </c>
      <c r="F65" s="104">
        <f>F62</f>
        <v>4</v>
      </c>
      <c r="G65" t="str">
        <f t="shared" si="7"/>
        <v>2344</v>
      </c>
      <c r="H65" s="106" t="s">
        <v>81</v>
      </c>
    </row>
    <row r="66" spans="1:8" ht="15" thickBot="1" x14ac:dyDescent="0.25">
      <c r="A66" s="32"/>
      <c r="B66" s="97" t="s">
        <v>114</v>
      </c>
      <c r="C66" s="103">
        <f>C62</f>
        <v>2</v>
      </c>
      <c r="D66" s="103">
        <f>D62</f>
        <v>2</v>
      </c>
      <c r="E66" s="103">
        <f>E62</f>
        <v>4</v>
      </c>
      <c r="F66" s="111">
        <v>2</v>
      </c>
      <c r="G66" t="str">
        <f t="shared" si="7"/>
        <v>2242</v>
      </c>
      <c r="H66" s="106" t="s">
        <v>83</v>
      </c>
    </row>
    <row r="67" spans="1:8" x14ac:dyDescent="0.2">
      <c r="A67" s="32"/>
      <c r="B67" s="94" t="s">
        <v>106</v>
      </c>
      <c r="C67" s="95">
        <v>4</v>
      </c>
      <c r="D67" s="95">
        <v>4</v>
      </c>
      <c r="E67" s="95">
        <v>4</v>
      </c>
      <c r="F67" s="96">
        <v>1</v>
      </c>
      <c r="G67" t="str">
        <f t="shared" si="7"/>
        <v>4441</v>
      </c>
      <c r="H67" s="106" t="s">
        <v>78</v>
      </c>
    </row>
    <row r="68" spans="1:8" x14ac:dyDescent="0.2">
      <c r="A68" s="32"/>
      <c r="B68" s="5" t="s">
        <v>104</v>
      </c>
      <c r="C68" s="99">
        <v>1</v>
      </c>
      <c r="D68" s="102">
        <f>D67</f>
        <v>4</v>
      </c>
      <c r="E68" s="102">
        <f>E67</f>
        <v>4</v>
      </c>
      <c r="F68" s="104">
        <f>F67</f>
        <v>1</v>
      </c>
      <c r="G68" t="str">
        <f t="shared" si="7"/>
        <v>1441</v>
      </c>
      <c r="H68" s="106" t="s">
        <v>85</v>
      </c>
    </row>
    <row r="69" spans="1:8" x14ac:dyDescent="0.2">
      <c r="A69" s="32"/>
      <c r="B69" s="5" t="s">
        <v>112</v>
      </c>
      <c r="C69" s="99">
        <v>2</v>
      </c>
      <c r="D69" s="102">
        <f>D67</f>
        <v>4</v>
      </c>
      <c r="E69" s="102">
        <f>E67</f>
        <v>4</v>
      </c>
      <c r="F69" s="108">
        <v>2</v>
      </c>
      <c r="G69" t="str">
        <f t="shared" si="7"/>
        <v>2442</v>
      </c>
      <c r="H69" s="106" t="s">
        <v>79</v>
      </c>
    </row>
    <row r="70" spans="1:8" x14ac:dyDescent="0.2">
      <c r="A70" s="32"/>
      <c r="B70" s="5" t="s">
        <v>113</v>
      </c>
      <c r="C70" s="102">
        <f>C67</f>
        <v>4</v>
      </c>
      <c r="D70" s="99">
        <v>3</v>
      </c>
      <c r="E70" s="102">
        <f>E67</f>
        <v>4</v>
      </c>
      <c r="F70" s="104">
        <f>F67</f>
        <v>1</v>
      </c>
      <c r="G70" t="str">
        <f t="shared" si="7"/>
        <v>4341</v>
      </c>
      <c r="H70" s="106" t="s">
        <v>81</v>
      </c>
    </row>
    <row r="71" spans="1:8" ht="15" thickBot="1" x14ac:dyDescent="0.25">
      <c r="A71" s="32"/>
      <c r="B71" s="97" t="s">
        <v>114</v>
      </c>
      <c r="C71" s="103">
        <f>C67</f>
        <v>4</v>
      </c>
      <c r="D71" s="103">
        <f>D67</f>
        <v>4</v>
      </c>
      <c r="E71" s="103">
        <f>E67</f>
        <v>4</v>
      </c>
      <c r="F71" s="111">
        <v>2</v>
      </c>
      <c r="G71" t="str">
        <f t="shared" si="7"/>
        <v>4442</v>
      </c>
      <c r="H71" s="106" t="s">
        <v>83</v>
      </c>
    </row>
    <row r="72" spans="1:8" x14ac:dyDescent="0.2">
      <c r="A72" s="32"/>
      <c r="B72" s="94" t="s">
        <v>106</v>
      </c>
      <c r="C72" s="95">
        <v>3</v>
      </c>
      <c r="D72" s="95">
        <v>3</v>
      </c>
      <c r="E72" s="95">
        <v>2</v>
      </c>
      <c r="F72" s="96">
        <v>2</v>
      </c>
      <c r="G72" t="str">
        <f t="shared" si="7"/>
        <v>3322</v>
      </c>
      <c r="H72" s="106" t="s">
        <v>78</v>
      </c>
    </row>
    <row r="73" spans="1:8" x14ac:dyDescent="0.2">
      <c r="A73" s="32"/>
      <c r="B73" s="5" t="s">
        <v>104</v>
      </c>
      <c r="C73" s="99">
        <v>4</v>
      </c>
      <c r="D73" s="102">
        <f>D72</f>
        <v>3</v>
      </c>
      <c r="E73" s="102">
        <f>E72</f>
        <v>2</v>
      </c>
      <c r="F73" s="104">
        <f>F72</f>
        <v>2</v>
      </c>
      <c r="G73" t="str">
        <f t="shared" si="7"/>
        <v>4322</v>
      </c>
      <c r="H73" s="106" t="s">
        <v>85</v>
      </c>
    </row>
    <row r="74" spans="1:8" x14ac:dyDescent="0.2">
      <c r="A74" s="32"/>
      <c r="B74" s="5" t="s">
        <v>112</v>
      </c>
      <c r="C74" s="99">
        <v>2</v>
      </c>
      <c r="D74" s="102">
        <f>D72</f>
        <v>3</v>
      </c>
      <c r="E74" s="102">
        <f>E72</f>
        <v>2</v>
      </c>
      <c r="F74" s="108">
        <v>1</v>
      </c>
      <c r="G74" t="str">
        <f t="shared" si="7"/>
        <v>2321</v>
      </c>
      <c r="H74" s="106" t="s">
        <v>79</v>
      </c>
    </row>
    <row r="75" spans="1:8" x14ac:dyDescent="0.2">
      <c r="A75" s="32"/>
      <c r="B75" s="5" t="s">
        <v>113</v>
      </c>
      <c r="C75" s="102">
        <f>C72</f>
        <v>3</v>
      </c>
      <c r="D75" s="99">
        <v>3</v>
      </c>
      <c r="E75" s="102">
        <f>E72</f>
        <v>2</v>
      </c>
      <c r="F75" s="104">
        <f>F72</f>
        <v>2</v>
      </c>
      <c r="G75" t="str">
        <f t="shared" si="7"/>
        <v>3322</v>
      </c>
      <c r="H75" s="106" t="s">
        <v>81</v>
      </c>
    </row>
    <row r="76" spans="1:8" ht="15" thickBot="1" x14ac:dyDescent="0.25">
      <c r="A76" s="32"/>
      <c r="B76" s="97" t="s">
        <v>114</v>
      </c>
      <c r="C76" s="103">
        <f>C72</f>
        <v>3</v>
      </c>
      <c r="D76" s="103">
        <f>D72</f>
        <v>3</v>
      </c>
      <c r="E76" s="103">
        <f>E72</f>
        <v>2</v>
      </c>
      <c r="F76" s="111">
        <v>4</v>
      </c>
      <c r="G76" t="str">
        <f t="shared" si="7"/>
        <v>3324</v>
      </c>
      <c r="H76" s="106" t="s">
        <v>83</v>
      </c>
    </row>
    <row r="77" spans="1:8" x14ac:dyDescent="0.2">
      <c r="A77" s="118" t="s">
        <v>105</v>
      </c>
      <c r="B77" s="94" t="s">
        <v>106</v>
      </c>
      <c r="C77" s="95">
        <v>2</v>
      </c>
      <c r="D77" s="95">
        <v>1</v>
      </c>
      <c r="E77" s="95">
        <v>4</v>
      </c>
      <c r="F77" s="96">
        <v>4</v>
      </c>
      <c r="G77" t="str">
        <f t="shared" si="7"/>
        <v>2144</v>
      </c>
      <c r="H77" s="107" t="s">
        <v>76</v>
      </c>
    </row>
    <row r="78" spans="1:8" x14ac:dyDescent="0.2">
      <c r="A78" s="118"/>
      <c r="B78" s="5" t="s">
        <v>104</v>
      </c>
      <c r="C78" s="102">
        <f>C77</f>
        <v>2</v>
      </c>
      <c r="D78" s="99">
        <v>4</v>
      </c>
      <c r="E78" s="102">
        <f>E77</f>
        <v>4</v>
      </c>
      <c r="F78" s="108">
        <v>1</v>
      </c>
      <c r="G78" t="str">
        <f t="shared" si="7"/>
        <v>2441</v>
      </c>
      <c r="H78" s="107" t="s">
        <v>76</v>
      </c>
    </row>
    <row r="79" spans="1:8" x14ac:dyDescent="0.2">
      <c r="A79" s="118"/>
      <c r="B79" s="5" t="s">
        <v>112</v>
      </c>
      <c r="C79" s="99">
        <v>1</v>
      </c>
      <c r="D79" s="102">
        <f>D77</f>
        <v>1</v>
      </c>
      <c r="E79" s="102">
        <f>E77</f>
        <v>4</v>
      </c>
      <c r="F79" s="108">
        <v>3</v>
      </c>
      <c r="G79" t="str">
        <f t="shared" si="7"/>
        <v>1143</v>
      </c>
      <c r="H79" s="107" t="s">
        <v>79</v>
      </c>
    </row>
    <row r="80" spans="1:8" x14ac:dyDescent="0.2">
      <c r="A80" s="118"/>
      <c r="B80" s="5" t="s">
        <v>113</v>
      </c>
      <c r="C80" s="99">
        <v>4</v>
      </c>
      <c r="D80" s="99">
        <v>3</v>
      </c>
      <c r="E80" s="99">
        <v>3</v>
      </c>
      <c r="F80" s="108">
        <v>2</v>
      </c>
      <c r="G80" t="str">
        <f t="shared" si="7"/>
        <v>4332</v>
      </c>
      <c r="H80" s="107">
        <v>0</v>
      </c>
    </row>
    <row r="81" spans="1:8" ht="15" thickBot="1" x14ac:dyDescent="0.25">
      <c r="A81" s="118"/>
      <c r="B81" s="97" t="s">
        <v>114</v>
      </c>
      <c r="C81" s="100">
        <v>3</v>
      </c>
      <c r="D81" s="100">
        <v>2</v>
      </c>
      <c r="E81" s="100">
        <v>2</v>
      </c>
      <c r="F81" s="105">
        <f>F77</f>
        <v>4</v>
      </c>
      <c r="G81" t="str">
        <f t="shared" si="7"/>
        <v>3224</v>
      </c>
      <c r="H81" s="107" t="s">
        <v>5</v>
      </c>
    </row>
    <row r="82" spans="1:8" x14ac:dyDescent="0.2">
      <c r="A82" s="90"/>
      <c r="B82" s="94" t="s">
        <v>106</v>
      </c>
      <c r="C82" s="95">
        <v>2</v>
      </c>
      <c r="D82" s="95">
        <v>1</v>
      </c>
      <c r="E82" s="95">
        <v>1</v>
      </c>
      <c r="F82" s="96">
        <v>2</v>
      </c>
      <c r="G82" t="str">
        <f t="shared" si="7"/>
        <v>2112</v>
      </c>
      <c r="H82" s="107" t="s">
        <v>76</v>
      </c>
    </row>
    <row r="83" spans="1:8" x14ac:dyDescent="0.2">
      <c r="A83" s="90"/>
      <c r="B83" s="5" t="s">
        <v>104</v>
      </c>
      <c r="C83" s="102">
        <f>C82</f>
        <v>2</v>
      </c>
      <c r="D83" s="99">
        <v>4</v>
      </c>
      <c r="E83" s="102">
        <f>E82</f>
        <v>1</v>
      </c>
      <c r="F83" s="108">
        <v>4</v>
      </c>
      <c r="G83" t="str">
        <f t="shared" si="7"/>
        <v>2414</v>
      </c>
      <c r="H83" s="107" t="s">
        <v>76</v>
      </c>
    </row>
    <row r="84" spans="1:8" x14ac:dyDescent="0.2">
      <c r="A84" s="90"/>
      <c r="B84" s="5" t="s">
        <v>112</v>
      </c>
      <c r="C84" s="99">
        <v>3</v>
      </c>
      <c r="D84" s="102">
        <f>D82</f>
        <v>1</v>
      </c>
      <c r="E84" s="102">
        <f>E82</f>
        <v>1</v>
      </c>
      <c r="F84" s="108">
        <v>3</v>
      </c>
      <c r="G84" t="str">
        <f t="shared" si="7"/>
        <v>3113</v>
      </c>
      <c r="H84" s="107" t="s">
        <v>79</v>
      </c>
    </row>
    <row r="85" spans="1:8" x14ac:dyDescent="0.2">
      <c r="A85" s="90"/>
      <c r="B85" s="5" t="s">
        <v>113</v>
      </c>
      <c r="C85" s="99">
        <v>3</v>
      </c>
      <c r="D85" s="99">
        <v>2</v>
      </c>
      <c r="E85" s="99">
        <v>2</v>
      </c>
      <c r="F85" s="108">
        <v>3</v>
      </c>
      <c r="G85" t="str">
        <f t="shared" si="7"/>
        <v>3223</v>
      </c>
      <c r="H85" s="107">
        <v>1</v>
      </c>
    </row>
    <row r="86" spans="1:8" ht="15" thickBot="1" x14ac:dyDescent="0.25">
      <c r="A86" s="90"/>
      <c r="B86" s="97" t="s">
        <v>114</v>
      </c>
      <c r="C86" s="100">
        <v>1</v>
      </c>
      <c r="D86" s="100">
        <v>2</v>
      </c>
      <c r="E86" s="100">
        <v>3</v>
      </c>
      <c r="F86" s="105">
        <f>F82</f>
        <v>2</v>
      </c>
      <c r="G86" t="str">
        <f t="shared" si="7"/>
        <v>1232</v>
      </c>
      <c r="H86" s="107" t="s">
        <v>5</v>
      </c>
    </row>
    <row r="87" spans="1:8" x14ac:dyDescent="0.2">
      <c r="A87" s="90"/>
      <c r="B87" s="94" t="s">
        <v>106</v>
      </c>
      <c r="C87" s="95">
        <v>2</v>
      </c>
      <c r="D87" s="95">
        <v>3</v>
      </c>
      <c r="E87" s="95">
        <v>1</v>
      </c>
      <c r="F87" s="96">
        <v>4</v>
      </c>
      <c r="G87" t="str">
        <f t="shared" si="7"/>
        <v>2314</v>
      </c>
      <c r="H87" s="107" t="s">
        <v>76</v>
      </c>
    </row>
    <row r="88" spans="1:8" x14ac:dyDescent="0.2">
      <c r="A88" s="90"/>
      <c r="B88" s="5" t="s">
        <v>104</v>
      </c>
      <c r="C88" s="102">
        <f>C87</f>
        <v>2</v>
      </c>
      <c r="D88" s="99">
        <v>4</v>
      </c>
      <c r="E88" s="102">
        <f>E87</f>
        <v>1</v>
      </c>
      <c r="F88" s="108">
        <v>1</v>
      </c>
      <c r="G88" t="str">
        <f t="shared" si="7"/>
        <v>2411</v>
      </c>
      <c r="H88" s="107" t="s">
        <v>76</v>
      </c>
    </row>
    <row r="89" spans="1:8" x14ac:dyDescent="0.2">
      <c r="A89" s="90"/>
      <c r="B89" s="5" t="s">
        <v>112</v>
      </c>
      <c r="C89" s="99">
        <v>3</v>
      </c>
      <c r="D89" s="102">
        <f>D87</f>
        <v>3</v>
      </c>
      <c r="E89" s="102">
        <f>E87</f>
        <v>1</v>
      </c>
      <c r="F89" s="108">
        <v>3</v>
      </c>
      <c r="G89" t="str">
        <f t="shared" si="7"/>
        <v>3313</v>
      </c>
      <c r="H89" s="107" t="s">
        <v>79</v>
      </c>
    </row>
    <row r="90" spans="1:8" x14ac:dyDescent="0.2">
      <c r="A90" s="90"/>
      <c r="B90" s="5" t="s">
        <v>113</v>
      </c>
      <c r="C90" s="99">
        <v>1</v>
      </c>
      <c r="D90" s="99">
        <v>2</v>
      </c>
      <c r="E90" s="99">
        <v>3</v>
      </c>
      <c r="F90" s="108">
        <v>2</v>
      </c>
      <c r="G90" t="str">
        <f t="shared" si="7"/>
        <v>1232</v>
      </c>
      <c r="H90" s="107">
        <v>2</v>
      </c>
    </row>
    <row r="91" spans="1:8" ht="15" thickBot="1" x14ac:dyDescent="0.25">
      <c r="A91" s="90"/>
      <c r="B91" s="97" t="s">
        <v>114</v>
      </c>
      <c r="C91" s="100">
        <v>1</v>
      </c>
      <c r="D91" s="100">
        <v>4</v>
      </c>
      <c r="E91" s="100">
        <v>3</v>
      </c>
      <c r="F91" s="105">
        <f>F87</f>
        <v>4</v>
      </c>
      <c r="G91" t="str">
        <f t="shared" si="7"/>
        <v>1434</v>
      </c>
      <c r="H91" s="107" t="s">
        <v>5</v>
      </c>
    </row>
    <row r="92" spans="1:8" x14ac:dyDescent="0.2">
      <c r="A92" s="90"/>
      <c r="B92" s="94" t="s">
        <v>106</v>
      </c>
      <c r="C92" s="95">
        <v>4</v>
      </c>
      <c r="D92" s="95">
        <v>3</v>
      </c>
      <c r="E92" s="95">
        <v>2</v>
      </c>
      <c r="F92" s="96">
        <v>3</v>
      </c>
      <c r="G92" t="str">
        <f t="shared" si="7"/>
        <v>4323</v>
      </c>
      <c r="H92" s="107" t="s">
        <v>76</v>
      </c>
    </row>
    <row r="93" spans="1:8" x14ac:dyDescent="0.2">
      <c r="A93" s="90"/>
      <c r="B93" s="5" t="s">
        <v>104</v>
      </c>
      <c r="C93" s="102">
        <f>C92</f>
        <v>4</v>
      </c>
      <c r="D93" s="99">
        <v>4</v>
      </c>
      <c r="E93" s="102">
        <f>E92</f>
        <v>2</v>
      </c>
      <c r="F93" s="108">
        <v>4</v>
      </c>
      <c r="G93" t="str">
        <f t="shared" si="7"/>
        <v>4424</v>
      </c>
      <c r="H93" s="107" t="s">
        <v>76</v>
      </c>
    </row>
    <row r="94" spans="1:8" x14ac:dyDescent="0.2">
      <c r="A94" s="90"/>
      <c r="B94" s="5" t="s">
        <v>112</v>
      </c>
      <c r="C94" s="99">
        <v>1</v>
      </c>
      <c r="D94" s="102">
        <f>D92</f>
        <v>3</v>
      </c>
      <c r="E94" s="102">
        <f>E92</f>
        <v>2</v>
      </c>
      <c r="F94" s="108">
        <v>1</v>
      </c>
      <c r="G94" t="str">
        <f t="shared" si="7"/>
        <v>1321</v>
      </c>
      <c r="H94" s="107" t="s">
        <v>79</v>
      </c>
    </row>
    <row r="95" spans="1:8" x14ac:dyDescent="0.2">
      <c r="A95" s="90"/>
      <c r="B95" s="5" t="s">
        <v>113</v>
      </c>
      <c r="C95" s="99">
        <v>1</v>
      </c>
      <c r="D95" s="99">
        <v>4</v>
      </c>
      <c r="E95" s="99">
        <v>4</v>
      </c>
      <c r="F95" s="108">
        <v>4</v>
      </c>
      <c r="G95" t="str">
        <f t="shared" si="7"/>
        <v>1444</v>
      </c>
      <c r="H95" s="107">
        <v>3</v>
      </c>
    </row>
    <row r="96" spans="1:8" ht="15" thickBot="1" x14ac:dyDescent="0.25">
      <c r="A96" s="90"/>
      <c r="B96" s="97" t="s">
        <v>114</v>
      </c>
      <c r="C96" s="100">
        <v>2</v>
      </c>
      <c r="D96" s="100">
        <v>1</v>
      </c>
      <c r="E96" s="100">
        <v>1</v>
      </c>
      <c r="F96" s="105">
        <f>F92</f>
        <v>3</v>
      </c>
      <c r="G96" t="str">
        <f t="shared" si="7"/>
        <v>2113</v>
      </c>
      <c r="H96" s="107" t="s">
        <v>5</v>
      </c>
    </row>
    <row r="97" spans="1:8" x14ac:dyDescent="0.2">
      <c r="A97" s="90"/>
      <c r="B97" s="94" t="s">
        <v>106</v>
      </c>
      <c r="C97" s="95">
        <v>4</v>
      </c>
      <c r="D97" s="95">
        <v>3</v>
      </c>
      <c r="E97" s="95">
        <v>4</v>
      </c>
      <c r="F97" s="96">
        <v>4</v>
      </c>
      <c r="G97" t="str">
        <f t="shared" ref="G97:G142" si="8">_xlfn.CONCAT(C97:F97)</f>
        <v>4344</v>
      </c>
      <c r="H97" s="107" t="s">
        <v>76</v>
      </c>
    </row>
    <row r="98" spans="1:8" x14ac:dyDescent="0.2">
      <c r="A98" s="90"/>
      <c r="B98" s="5" t="s">
        <v>104</v>
      </c>
      <c r="C98" s="102">
        <f>C97</f>
        <v>4</v>
      </c>
      <c r="D98" s="99">
        <v>1</v>
      </c>
      <c r="E98" s="102">
        <f>E97</f>
        <v>4</v>
      </c>
      <c r="F98" s="108">
        <v>3</v>
      </c>
      <c r="G98" t="str">
        <f t="shared" si="8"/>
        <v>4143</v>
      </c>
      <c r="H98" s="107" t="s">
        <v>76</v>
      </c>
    </row>
    <row r="99" spans="1:8" x14ac:dyDescent="0.2">
      <c r="A99" s="90"/>
      <c r="B99" s="5" t="s">
        <v>112</v>
      </c>
      <c r="C99" s="99">
        <v>1</v>
      </c>
      <c r="D99" s="102">
        <f>D97</f>
        <v>3</v>
      </c>
      <c r="E99" s="102">
        <f>E97</f>
        <v>4</v>
      </c>
      <c r="F99" s="108">
        <v>2</v>
      </c>
      <c r="G99" t="str">
        <f t="shared" si="8"/>
        <v>1342</v>
      </c>
      <c r="H99" s="107" t="s">
        <v>79</v>
      </c>
    </row>
    <row r="100" spans="1:8" x14ac:dyDescent="0.2">
      <c r="A100" s="90"/>
      <c r="B100" s="5" t="s">
        <v>113</v>
      </c>
      <c r="C100" s="99">
        <v>1</v>
      </c>
      <c r="D100" s="99">
        <v>2</v>
      </c>
      <c r="E100" s="99">
        <v>3</v>
      </c>
      <c r="F100" s="108">
        <v>1</v>
      </c>
      <c r="G100" t="str">
        <f t="shared" si="8"/>
        <v>1231</v>
      </c>
      <c r="H100" s="107">
        <v>4</v>
      </c>
    </row>
    <row r="101" spans="1:8" ht="15" thickBot="1" x14ac:dyDescent="0.25">
      <c r="A101" s="90"/>
      <c r="B101" s="97" t="s">
        <v>114</v>
      </c>
      <c r="C101" s="100">
        <v>3</v>
      </c>
      <c r="D101" s="100">
        <v>1</v>
      </c>
      <c r="E101" s="100">
        <v>1</v>
      </c>
      <c r="F101" s="105">
        <f>F97</f>
        <v>4</v>
      </c>
      <c r="G101" t="str">
        <f t="shared" si="8"/>
        <v>3114</v>
      </c>
      <c r="H101" s="107" t="s">
        <v>5</v>
      </c>
    </row>
    <row r="102" spans="1:8" x14ac:dyDescent="0.2">
      <c r="A102" s="119" t="s">
        <v>108</v>
      </c>
      <c r="B102" s="94" t="s">
        <v>106</v>
      </c>
      <c r="C102" s="95">
        <v>3</v>
      </c>
      <c r="D102" s="95">
        <v>4</v>
      </c>
      <c r="E102" s="95">
        <v>4</v>
      </c>
      <c r="F102" s="96">
        <v>2</v>
      </c>
      <c r="G102" t="str">
        <f t="shared" si="8"/>
        <v>3442</v>
      </c>
      <c r="H102" s="106" t="s">
        <v>79</v>
      </c>
    </row>
    <row r="103" spans="1:8" x14ac:dyDescent="0.2">
      <c r="A103" s="119"/>
      <c r="B103" s="5" t="s">
        <v>104</v>
      </c>
      <c r="C103" s="99">
        <v>2</v>
      </c>
      <c r="D103">
        <f>D102</f>
        <v>4</v>
      </c>
      <c r="E103">
        <f>E102</f>
        <v>4</v>
      </c>
      <c r="F103" s="108">
        <v>3</v>
      </c>
      <c r="G103" t="str">
        <f t="shared" si="8"/>
        <v>2443</v>
      </c>
      <c r="H103" s="106" t="s">
        <v>79</v>
      </c>
    </row>
    <row r="104" spans="1:8" x14ac:dyDescent="0.2">
      <c r="A104" s="119"/>
      <c r="B104" s="5" t="s">
        <v>112</v>
      </c>
      <c r="C104">
        <f>C102</f>
        <v>3</v>
      </c>
      <c r="D104">
        <f>D102</f>
        <v>4</v>
      </c>
      <c r="E104" s="99">
        <v>2</v>
      </c>
      <c r="F104" s="108">
        <v>4</v>
      </c>
      <c r="G104" t="str">
        <f t="shared" si="8"/>
        <v>3424</v>
      </c>
      <c r="H104" s="106" t="s">
        <v>80</v>
      </c>
    </row>
    <row r="105" spans="1:8" x14ac:dyDescent="0.2">
      <c r="A105" s="119"/>
      <c r="B105" s="5" t="s">
        <v>113</v>
      </c>
      <c r="C105" s="99">
        <v>2</v>
      </c>
      <c r="D105" s="99">
        <v>3</v>
      </c>
      <c r="E105">
        <f>E102</f>
        <v>4</v>
      </c>
      <c r="F105" s="6">
        <f>F102</f>
        <v>2</v>
      </c>
      <c r="G105" t="str">
        <f t="shared" si="8"/>
        <v>2342</v>
      </c>
      <c r="H105" s="106" t="s">
        <v>77</v>
      </c>
    </row>
    <row r="106" spans="1:8" ht="15" thickBot="1" x14ac:dyDescent="0.25">
      <c r="A106" s="119"/>
      <c r="B106" s="97" t="s">
        <v>114</v>
      </c>
      <c r="C106" s="100">
        <v>2</v>
      </c>
      <c r="D106" s="114">
        <f>D102</f>
        <v>4</v>
      </c>
      <c r="E106" s="100">
        <v>1</v>
      </c>
      <c r="F106" s="111">
        <v>4</v>
      </c>
      <c r="G106" t="str">
        <f t="shared" si="8"/>
        <v>2414</v>
      </c>
      <c r="H106" s="106" t="s">
        <v>7</v>
      </c>
    </row>
    <row r="107" spans="1:8" x14ac:dyDescent="0.2">
      <c r="A107" s="91"/>
      <c r="B107" s="94" t="s">
        <v>106</v>
      </c>
      <c r="C107" s="95">
        <v>4</v>
      </c>
      <c r="D107" s="95">
        <v>3</v>
      </c>
      <c r="E107" s="95">
        <v>3</v>
      </c>
      <c r="F107" s="96">
        <v>2</v>
      </c>
      <c r="G107" t="str">
        <f t="shared" si="8"/>
        <v>4332</v>
      </c>
      <c r="H107" s="106" t="s">
        <v>79</v>
      </c>
    </row>
    <row r="108" spans="1:8" x14ac:dyDescent="0.2">
      <c r="A108" s="91"/>
      <c r="B108" s="5" t="s">
        <v>104</v>
      </c>
      <c r="C108" s="99">
        <v>1</v>
      </c>
      <c r="D108">
        <f>D107</f>
        <v>3</v>
      </c>
      <c r="E108">
        <f>E107</f>
        <v>3</v>
      </c>
      <c r="F108" s="108">
        <v>1</v>
      </c>
      <c r="G108" t="str">
        <f t="shared" si="8"/>
        <v>1331</v>
      </c>
      <c r="H108" s="106" t="s">
        <v>79</v>
      </c>
    </row>
    <row r="109" spans="1:8" x14ac:dyDescent="0.2">
      <c r="A109" s="91"/>
      <c r="B109" s="5" t="s">
        <v>112</v>
      </c>
      <c r="C109">
        <f>C107</f>
        <v>4</v>
      </c>
      <c r="D109">
        <f>D107</f>
        <v>3</v>
      </c>
      <c r="E109" s="99">
        <v>1</v>
      </c>
      <c r="F109" s="108">
        <v>3</v>
      </c>
      <c r="G109" t="str">
        <f t="shared" si="8"/>
        <v>4313</v>
      </c>
      <c r="H109" s="106" t="s">
        <v>80</v>
      </c>
    </row>
    <row r="110" spans="1:8" x14ac:dyDescent="0.2">
      <c r="A110" s="91"/>
      <c r="B110" s="5" t="s">
        <v>113</v>
      </c>
      <c r="C110" s="99">
        <v>1</v>
      </c>
      <c r="D110" s="99">
        <v>1</v>
      </c>
      <c r="E110">
        <f>E107</f>
        <v>3</v>
      </c>
      <c r="F110" s="6">
        <f>F107</f>
        <v>2</v>
      </c>
      <c r="G110" t="str">
        <f t="shared" si="8"/>
        <v>1132</v>
      </c>
      <c r="H110" s="106" t="s">
        <v>77</v>
      </c>
    </row>
    <row r="111" spans="1:8" ht="15" thickBot="1" x14ac:dyDescent="0.25">
      <c r="A111" s="91"/>
      <c r="B111" s="97" t="s">
        <v>114</v>
      </c>
      <c r="C111" s="100">
        <v>3</v>
      </c>
      <c r="D111" s="114">
        <f>D107</f>
        <v>3</v>
      </c>
      <c r="E111" s="100">
        <v>4</v>
      </c>
      <c r="F111" s="111">
        <v>1</v>
      </c>
      <c r="G111" t="str">
        <f t="shared" si="8"/>
        <v>3341</v>
      </c>
      <c r="H111" s="106" t="s">
        <v>7</v>
      </c>
    </row>
    <row r="112" spans="1:8" x14ac:dyDescent="0.2">
      <c r="A112" s="91"/>
      <c r="B112" s="94" t="s">
        <v>106</v>
      </c>
      <c r="C112" s="95">
        <v>1</v>
      </c>
      <c r="D112" s="95">
        <v>2</v>
      </c>
      <c r="E112" s="95">
        <v>3</v>
      </c>
      <c r="F112" s="96">
        <v>3</v>
      </c>
      <c r="G112" t="str">
        <f t="shared" si="8"/>
        <v>1233</v>
      </c>
      <c r="H112" s="106" t="s">
        <v>79</v>
      </c>
    </row>
    <row r="113" spans="1:8" x14ac:dyDescent="0.2">
      <c r="A113" s="91"/>
      <c r="B113" s="5" t="s">
        <v>104</v>
      </c>
      <c r="C113" s="99">
        <v>2</v>
      </c>
      <c r="D113">
        <f>D112</f>
        <v>2</v>
      </c>
      <c r="E113">
        <f>E112</f>
        <v>3</v>
      </c>
      <c r="F113" s="108">
        <v>2</v>
      </c>
      <c r="G113" t="str">
        <f t="shared" si="8"/>
        <v>2232</v>
      </c>
      <c r="H113" s="106" t="s">
        <v>79</v>
      </c>
    </row>
    <row r="114" spans="1:8" x14ac:dyDescent="0.2">
      <c r="A114" s="91"/>
      <c r="B114" s="5" t="s">
        <v>112</v>
      </c>
      <c r="C114">
        <v>3</v>
      </c>
      <c r="D114">
        <f>D112</f>
        <v>2</v>
      </c>
      <c r="E114" s="99">
        <v>1</v>
      </c>
      <c r="F114" s="108">
        <v>1</v>
      </c>
      <c r="G114" t="str">
        <f t="shared" si="8"/>
        <v>3211</v>
      </c>
      <c r="H114" s="106" t="s">
        <v>80</v>
      </c>
    </row>
    <row r="115" spans="1:8" x14ac:dyDescent="0.2">
      <c r="A115" s="91"/>
      <c r="B115" s="5" t="s">
        <v>113</v>
      </c>
      <c r="C115" s="99">
        <v>3</v>
      </c>
      <c r="D115" s="99">
        <v>3</v>
      </c>
      <c r="E115">
        <f>E112</f>
        <v>3</v>
      </c>
      <c r="F115" s="6">
        <f>F112</f>
        <v>3</v>
      </c>
      <c r="G115" t="str">
        <f t="shared" si="8"/>
        <v>3333</v>
      </c>
      <c r="H115" s="106" t="s">
        <v>77</v>
      </c>
    </row>
    <row r="116" spans="1:8" ht="15" thickBot="1" x14ac:dyDescent="0.25">
      <c r="A116" s="91"/>
      <c r="B116" s="97" t="s">
        <v>114</v>
      </c>
      <c r="C116" s="100">
        <v>4</v>
      </c>
      <c r="D116" s="114">
        <f>D112</f>
        <v>2</v>
      </c>
      <c r="E116" s="100">
        <v>1</v>
      </c>
      <c r="F116" s="111">
        <v>2</v>
      </c>
      <c r="G116" t="str">
        <f t="shared" si="8"/>
        <v>4212</v>
      </c>
      <c r="H116" s="106" t="s">
        <v>7</v>
      </c>
    </row>
    <row r="117" spans="1:8" x14ac:dyDescent="0.2">
      <c r="A117" s="91"/>
      <c r="B117" s="94" t="s">
        <v>106</v>
      </c>
      <c r="C117" s="95">
        <v>1</v>
      </c>
      <c r="D117" s="95">
        <v>1</v>
      </c>
      <c r="E117" s="95">
        <v>1</v>
      </c>
      <c r="F117" s="96">
        <v>4</v>
      </c>
      <c r="G117" t="str">
        <f t="shared" si="8"/>
        <v>1114</v>
      </c>
      <c r="H117" s="106" t="s">
        <v>79</v>
      </c>
    </row>
    <row r="118" spans="1:8" x14ac:dyDescent="0.2">
      <c r="A118" s="91"/>
      <c r="B118" s="5" t="s">
        <v>104</v>
      </c>
      <c r="C118" s="99">
        <v>3</v>
      </c>
      <c r="D118">
        <f>D117</f>
        <v>1</v>
      </c>
      <c r="E118">
        <f>E117</f>
        <v>1</v>
      </c>
      <c r="F118" s="108">
        <v>1</v>
      </c>
      <c r="G118" t="str">
        <f t="shared" si="8"/>
        <v>3111</v>
      </c>
      <c r="H118" s="106" t="s">
        <v>79</v>
      </c>
    </row>
    <row r="119" spans="1:8" x14ac:dyDescent="0.2">
      <c r="A119" s="91"/>
      <c r="B119" s="5" t="s">
        <v>112</v>
      </c>
      <c r="C119">
        <f>C117</f>
        <v>1</v>
      </c>
      <c r="D119">
        <f>D117</f>
        <v>1</v>
      </c>
      <c r="E119" s="99">
        <v>3</v>
      </c>
      <c r="F119" s="108">
        <v>1</v>
      </c>
      <c r="G119" t="str">
        <f t="shared" si="8"/>
        <v>1131</v>
      </c>
      <c r="H119" s="106" t="s">
        <v>80</v>
      </c>
    </row>
    <row r="120" spans="1:8" x14ac:dyDescent="0.2">
      <c r="A120" s="91"/>
      <c r="B120" s="5" t="s">
        <v>113</v>
      </c>
      <c r="C120" s="99">
        <v>2</v>
      </c>
      <c r="D120" s="99">
        <v>2</v>
      </c>
      <c r="E120">
        <f>E117</f>
        <v>1</v>
      </c>
      <c r="F120" s="6">
        <f>F117</f>
        <v>4</v>
      </c>
      <c r="G120" t="str">
        <f t="shared" si="8"/>
        <v>2214</v>
      </c>
      <c r="H120" s="106" t="s">
        <v>77</v>
      </c>
    </row>
    <row r="121" spans="1:8" ht="15" thickBot="1" x14ac:dyDescent="0.25">
      <c r="A121" s="91"/>
      <c r="B121" s="97" t="s">
        <v>114</v>
      </c>
      <c r="C121" s="100">
        <v>2</v>
      </c>
      <c r="D121" s="114">
        <f>D117</f>
        <v>1</v>
      </c>
      <c r="E121" s="100">
        <v>4</v>
      </c>
      <c r="F121" s="111">
        <v>1</v>
      </c>
      <c r="G121" t="str">
        <f t="shared" si="8"/>
        <v>2141</v>
      </c>
      <c r="H121" s="106" t="s">
        <v>7</v>
      </c>
    </row>
    <row r="122" spans="1:8" x14ac:dyDescent="0.2">
      <c r="A122" s="91"/>
      <c r="B122" s="94" t="s">
        <v>106</v>
      </c>
      <c r="C122" s="95">
        <v>4</v>
      </c>
      <c r="D122" s="95">
        <v>2</v>
      </c>
      <c r="E122" s="95">
        <v>4</v>
      </c>
      <c r="F122" s="96">
        <v>3</v>
      </c>
      <c r="G122" t="str">
        <f t="shared" si="8"/>
        <v>4243</v>
      </c>
      <c r="H122" s="106" t="s">
        <v>79</v>
      </c>
    </row>
    <row r="123" spans="1:8" x14ac:dyDescent="0.2">
      <c r="A123" s="91"/>
      <c r="B123" s="5" t="s">
        <v>104</v>
      </c>
      <c r="C123" s="99">
        <v>1</v>
      </c>
      <c r="D123">
        <f>D122</f>
        <v>2</v>
      </c>
      <c r="E123">
        <f>E122</f>
        <v>4</v>
      </c>
      <c r="F123" s="108">
        <v>2</v>
      </c>
      <c r="G123" t="str">
        <f t="shared" si="8"/>
        <v>1242</v>
      </c>
      <c r="H123" s="106" t="s">
        <v>79</v>
      </c>
    </row>
    <row r="124" spans="1:8" x14ac:dyDescent="0.2">
      <c r="A124" s="91"/>
      <c r="B124" s="5" t="s">
        <v>112</v>
      </c>
      <c r="C124">
        <f>C122</f>
        <v>4</v>
      </c>
      <c r="D124">
        <f>D122</f>
        <v>2</v>
      </c>
      <c r="E124" s="99">
        <v>2</v>
      </c>
      <c r="F124" s="108">
        <v>4</v>
      </c>
      <c r="G124" t="str">
        <f t="shared" si="8"/>
        <v>4224</v>
      </c>
      <c r="H124" s="106" t="s">
        <v>80</v>
      </c>
    </row>
    <row r="125" spans="1:8" x14ac:dyDescent="0.2">
      <c r="A125" s="91"/>
      <c r="B125" s="5" t="s">
        <v>113</v>
      </c>
      <c r="C125" s="99">
        <v>3</v>
      </c>
      <c r="D125" s="99">
        <v>4</v>
      </c>
      <c r="E125">
        <f>E122</f>
        <v>4</v>
      </c>
      <c r="F125" s="6">
        <f>F122</f>
        <v>3</v>
      </c>
      <c r="G125" t="str">
        <f t="shared" si="8"/>
        <v>3443</v>
      </c>
      <c r="H125" s="106" t="s">
        <v>77</v>
      </c>
    </row>
    <row r="126" spans="1:8" ht="15" thickBot="1" x14ac:dyDescent="0.25">
      <c r="A126" s="91"/>
      <c r="B126" s="97" t="s">
        <v>114</v>
      </c>
      <c r="C126" s="100">
        <v>1</v>
      </c>
      <c r="D126" s="114">
        <f>D122</f>
        <v>2</v>
      </c>
      <c r="E126" s="100">
        <v>1</v>
      </c>
      <c r="F126" s="111">
        <v>4</v>
      </c>
      <c r="G126" t="str">
        <f t="shared" si="8"/>
        <v>1214</v>
      </c>
      <c r="H126" s="106" t="s">
        <v>7</v>
      </c>
    </row>
    <row r="127" spans="1:8" x14ac:dyDescent="0.2">
      <c r="A127" s="118" t="s">
        <v>110</v>
      </c>
      <c r="B127" s="94" t="s">
        <v>106</v>
      </c>
      <c r="C127" s="95">
        <v>3</v>
      </c>
      <c r="D127" s="95">
        <v>3</v>
      </c>
      <c r="E127" s="95">
        <v>4</v>
      </c>
      <c r="F127" s="96">
        <v>3</v>
      </c>
      <c r="G127" t="str">
        <f t="shared" si="8"/>
        <v>3343</v>
      </c>
      <c r="H127" s="107" t="s">
        <v>76</v>
      </c>
    </row>
    <row r="128" spans="1:8" x14ac:dyDescent="0.2">
      <c r="A128" s="118"/>
      <c r="B128" s="5" t="s">
        <v>104</v>
      </c>
      <c r="C128" s="102">
        <f>C127</f>
        <v>3</v>
      </c>
      <c r="D128" s="99">
        <v>4</v>
      </c>
      <c r="E128" s="102">
        <f>E127</f>
        <v>4</v>
      </c>
      <c r="F128" s="108">
        <v>2</v>
      </c>
      <c r="G128" t="str">
        <f t="shared" si="8"/>
        <v>3442</v>
      </c>
      <c r="H128" s="107" t="s">
        <v>76</v>
      </c>
    </row>
    <row r="129" spans="1:8" x14ac:dyDescent="0.2">
      <c r="A129" s="118"/>
      <c r="B129" s="5" t="s">
        <v>112</v>
      </c>
      <c r="C129" s="102">
        <f>C127</f>
        <v>3</v>
      </c>
      <c r="D129" s="102">
        <f>D127</f>
        <v>3</v>
      </c>
      <c r="E129" s="99">
        <v>1</v>
      </c>
      <c r="F129" s="104">
        <f>F127</f>
        <v>3</v>
      </c>
      <c r="G129" t="str">
        <f t="shared" si="8"/>
        <v>3313</v>
      </c>
      <c r="H129" s="107" t="s">
        <v>84</v>
      </c>
    </row>
    <row r="130" spans="1:8" x14ac:dyDescent="0.2">
      <c r="A130" s="118"/>
      <c r="B130" s="5" t="s">
        <v>113</v>
      </c>
      <c r="C130" s="102">
        <f>C127</f>
        <v>3</v>
      </c>
      <c r="D130" s="99">
        <v>4</v>
      </c>
      <c r="E130" s="99">
        <v>2</v>
      </c>
      <c r="F130" s="104">
        <f>F127</f>
        <v>3</v>
      </c>
      <c r="G130" t="str">
        <f t="shared" si="8"/>
        <v>3423</v>
      </c>
      <c r="H130" s="107" t="s">
        <v>82</v>
      </c>
    </row>
    <row r="131" spans="1:8" ht="15" thickBot="1" x14ac:dyDescent="0.25">
      <c r="A131" s="118"/>
      <c r="B131" s="97" t="s">
        <v>114</v>
      </c>
      <c r="C131" s="100">
        <v>4</v>
      </c>
      <c r="D131" s="103">
        <f>D127</f>
        <v>3</v>
      </c>
      <c r="E131" s="103">
        <f>E127</f>
        <v>4</v>
      </c>
      <c r="F131" s="111">
        <v>4</v>
      </c>
      <c r="G131" t="str">
        <f t="shared" si="8"/>
        <v>4344</v>
      </c>
      <c r="H131" s="107" t="s">
        <v>79</v>
      </c>
    </row>
    <row r="132" spans="1:8" x14ac:dyDescent="0.2">
      <c r="A132" s="90"/>
      <c r="B132" s="94" t="s">
        <v>106</v>
      </c>
      <c r="C132" s="95">
        <v>3</v>
      </c>
      <c r="D132" s="95">
        <v>3</v>
      </c>
      <c r="E132" s="95">
        <v>3</v>
      </c>
      <c r="F132" s="96">
        <v>4</v>
      </c>
      <c r="G132" t="str">
        <f t="shared" si="8"/>
        <v>3334</v>
      </c>
      <c r="H132" s="107" t="s">
        <v>76</v>
      </c>
    </row>
    <row r="133" spans="1:8" x14ac:dyDescent="0.2">
      <c r="A133" s="90"/>
      <c r="B133" s="5" t="s">
        <v>104</v>
      </c>
      <c r="C133" s="102">
        <f>C132</f>
        <v>3</v>
      </c>
      <c r="D133" s="99">
        <v>4</v>
      </c>
      <c r="E133" s="102">
        <f>E132</f>
        <v>3</v>
      </c>
      <c r="F133" s="108">
        <v>2</v>
      </c>
      <c r="G133" t="str">
        <f t="shared" si="8"/>
        <v>3432</v>
      </c>
      <c r="H133" s="107" t="s">
        <v>76</v>
      </c>
    </row>
    <row r="134" spans="1:8" x14ac:dyDescent="0.2">
      <c r="A134" s="90"/>
      <c r="B134" s="5" t="s">
        <v>112</v>
      </c>
      <c r="C134" s="102">
        <f>C132</f>
        <v>3</v>
      </c>
      <c r="D134" s="102">
        <f>D132</f>
        <v>3</v>
      </c>
      <c r="E134" s="99">
        <v>2</v>
      </c>
      <c r="F134" s="104">
        <f>F132</f>
        <v>4</v>
      </c>
      <c r="G134" t="str">
        <f t="shared" si="8"/>
        <v>3324</v>
      </c>
      <c r="H134" s="107" t="s">
        <v>84</v>
      </c>
    </row>
    <row r="135" spans="1:8" x14ac:dyDescent="0.2">
      <c r="A135" s="90"/>
      <c r="B135" s="5" t="s">
        <v>113</v>
      </c>
      <c r="C135" s="102">
        <f>C132</f>
        <v>3</v>
      </c>
      <c r="D135" s="99">
        <v>1</v>
      </c>
      <c r="E135" s="99">
        <v>4</v>
      </c>
      <c r="F135" s="104">
        <f>F132</f>
        <v>4</v>
      </c>
      <c r="G135" t="str">
        <f t="shared" si="8"/>
        <v>3144</v>
      </c>
      <c r="H135" s="107" t="s">
        <v>82</v>
      </c>
    </row>
    <row r="136" spans="1:8" ht="15" thickBot="1" x14ac:dyDescent="0.25">
      <c r="A136" s="90"/>
      <c r="B136" s="97" t="s">
        <v>114</v>
      </c>
      <c r="C136" s="100">
        <v>4</v>
      </c>
      <c r="D136" s="103">
        <f>D132</f>
        <v>3</v>
      </c>
      <c r="E136" s="103">
        <f>E132</f>
        <v>3</v>
      </c>
      <c r="F136" s="111">
        <v>1</v>
      </c>
      <c r="G136" t="str">
        <f t="shared" si="8"/>
        <v>4331</v>
      </c>
      <c r="H136" s="107" t="s">
        <v>79</v>
      </c>
    </row>
    <row r="137" spans="1:8" x14ac:dyDescent="0.2">
      <c r="A137" s="90"/>
      <c r="B137" s="94" t="s">
        <v>106</v>
      </c>
      <c r="C137" s="95">
        <v>3</v>
      </c>
      <c r="D137" s="95">
        <v>4</v>
      </c>
      <c r="E137" s="95">
        <v>1</v>
      </c>
      <c r="F137" s="96">
        <v>3</v>
      </c>
      <c r="G137" t="str">
        <f t="shared" si="8"/>
        <v>3413</v>
      </c>
      <c r="H137" s="107" t="s">
        <v>76</v>
      </c>
    </row>
    <row r="138" spans="1:8" x14ac:dyDescent="0.2">
      <c r="A138" s="90"/>
      <c r="B138" s="5" t="s">
        <v>104</v>
      </c>
      <c r="C138" s="102">
        <f>C137</f>
        <v>3</v>
      </c>
      <c r="D138" s="99">
        <v>2</v>
      </c>
      <c r="E138" s="102">
        <f>E137</f>
        <v>1</v>
      </c>
      <c r="F138" s="108">
        <v>2</v>
      </c>
      <c r="G138" t="str">
        <f t="shared" si="8"/>
        <v>3212</v>
      </c>
      <c r="H138" s="107" t="s">
        <v>76</v>
      </c>
    </row>
    <row r="139" spans="1:8" x14ac:dyDescent="0.2">
      <c r="A139" s="90"/>
      <c r="B139" s="5" t="s">
        <v>112</v>
      </c>
      <c r="C139" s="102">
        <f>C137</f>
        <v>3</v>
      </c>
      <c r="D139" s="102">
        <f>D137</f>
        <v>4</v>
      </c>
      <c r="E139" s="99">
        <v>4</v>
      </c>
      <c r="F139" s="104">
        <f>F137</f>
        <v>3</v>
      </c>
      <c r="G139" t="str">
        <f t="shared" si="8"/>
        <v>3443</v>
      </c>
      <c r="H139" s="107" t="s">
        <v>84</v>
      </c>
    </row>
    <row r="140" spans="1:8" x14ac:dyDescent="0.2">
      <c r="A140" s="90"/>
      <c r="B140" s="5" t="s">
        <v>113</v>
      </c>
      <c r="C140" s="102">
        <f>C137</f>
        <v>3</v>
      </c>
      <c r="D140" s="99">
        <v>1</v>
      </c>
      <c r="E140" s="99">
        <v>4</v>
      </c>
      <c r="F140" s="104">
        <f>F137</f>
        <v>3</v>
      </c>
      <c r="G140" t="str">
        <f t="shared" si="8"/>
        <v>3143</v>
      </c>
      <c r="H140" s="107" t="s">
        <v>82</v>
      </c>
    </row>
    <row r="141" spans="1:8" ht="15" thickBot="1" x14ac:dyDescent="0.25">
      <c r="A141" s="90"/>
      <c r="B141" s="97" t="s">
        <v>114</v>
      </c>
      <c r="C141" s="100">
        <v>2</v>
      </c>
      <c r="D141" s="103">
        <f>D137</f>
        <v>4</v>
      </c>
      <c r="E141" s="103">
        <f>E137</f>
        <v>1</v>
      </c>
      <c r="F141" s="111">
        <v>4</v>
      </c>
      <c r="G141" t="str">
        <f t="shared" si="8"/>
        <v>2414</v>
      </c>
      <c r="H141" s="107" t="s">
        <v>79</v>
      </c>
    </row>
    <row r="142" spans="1:8" x14ac:dyDescent="0.2">
      <c r="A142" s="90"/>
      <c r="B142" s="94" t="s">
        <v>106</v>
      </c>
      <c r="C142" s="95">
        <v>2</v>
      </c>
      <c r="D142" s="95">
        <v>4</v>
      </c>
      <c r="E142" s="95">
        <v>1</v>
      </c>
      <c r="F142" s="96">
        <v>3</v>
      </c>
      <c r="G142" t="str">
        <f t="shared" si="8"/>
        <v>2413</v>
      </c>
      <c r="H142" s="107" t="s">
        <v>76</v>
      </c>
    </row>
    <row r="143" spans="1:8" x14ac:dyDescent="0.2">
      <c r="A143" s="90"/>
      <c r="B143" s="5" t="s">
        <v>104</v>
      </c>
      <c r="C143" s="102">
        <f>C142</f>
        <v>2</v>
      </c>
      <c r="D143" s="99">
        <v>1</v>
      </c>
      <c r="E143" s="102">
        <f>E142</f>
        <v>1</v>
      </c>
      <c r="F143" s="108">
        <v>4</v>
      </c>
      <c r="G143" t="str">
        <f t="shared" ref="G143:G151" si="9">_xlfn.CONCAT(C143:F143)</f>
        <v>2114</v>
      </c>
      <c r="H143" s="107" t="s">
        <v>76</v>
      </c>
    </row>
    <row r="144" spans="1:8" x14ac:dyDescent="0.2">
      <c r="A144" s="90"/>
      <c r="B144" s="5" t="s">
        <v>112</v>
      </c>
      <c r="C144" s="102">
        <f>C142</f>
        <v>2</v>
      </c>
      <c r="D144" s="102">
        <f>D142</f>
        <v>4</v>
      </c>
      <c r="E144" s="99">
        <v>3</v>
      </c>
      <c r="F144" s="104">
        <f>F142</f>
        <v>3</v>
      </c>
      <c r="G144" t="str">
        <f t="shared" si="9"/>
        <v>2433</v>
      </c>
      <c r="H144" s="107" t="s">
        <v>84</v>
      </c>
    </row>
    <row r="145" spans="1:8" x14ac:dyDescent="0.2">
      <c r="A145" s="90"/>
      <c r="B145" s="5" t="s">
        <v>113</v>
      </c>
      <c r="C145" s="102">
        <f>C142</f>
        <v>2</v>
      </c>
      <c r="D145" s="99">
        <v>1</v>
      </c>
      <c r="E145" s="99">
        <v>2</v>
      </c>
      <c r="F145" s="104">
        <f>F142</f>
        <v>3</v>
      </c>
      <c r="G145" t="str">
        <f t="shared" si="9"/>
        <v>2123</v>
      </c>
      <c r="H145" s="107" t="s">
        <v>82</v>
      </c>
    </row>
    <row r="146" spans="1:8" ht="15" thickBot="1" x14ac:dyDescent="0.25">
      <c r="A146" s="90"/>
      <c r="B146" s="97" t="s">
        <v>114</v>
      </c>
      <c r="C146" s="100">
        <v>4</v>
      </c>
      <c r="D146" s="103">
        <f>D142</f>
        <v>4</v>
      </c>
      <c r="E146" s="103">
        <f>E142</f>
        <v>1</v>
      </c>
      <c r="F146" s="111">
        <v>4</v>
      </c>
      <c r="G146" t="str">
        <f t="shared" si="9"/>
        <v>4414</v>
      </c>
      <c r="H146" s="107" t="s">
        <v>79</v>
      </c>
    </row>
    <row r="147" spans="1:8" x14ac:dyDescent="0.2">
      <c r="A147" s="90"/>
      <c r="B147" s="94" t="s">
        <v>106</v>
      </c>
      <c r="C147" s="95">
        <v>4</v>
      </c>
      <c r="D147" s="95">
        <v>4</v>
      </c>
      <c r="E147" s="95">
        <v>4</v>
      </c>
      <c r="F147" s="96">
        <v>3</v>
      </c>
      <c r="G147" t="str">
        <f t="shared" si="9"/>
        <v>4443</v>
      </c>
      <c r="H147" s="107" t="s">
        <v>76</v>
      </c>
    </row>
    <row r="148" spans="1:8" x14ac:dyDescent="0.2">
      <c r="A148" s="90"/>
      <c r="B148" s="5" t="s">
        <v>104</v>
      </c>
      <c r="C148" s="102">
        <f>C147</f>
        <v>4</v>
      </c>
      <c r="D148" s="99">
        <v>2</v>
      </c>
      <c r="E148" s="102">
        <f>E147</f>
        <v>4</v>
      </c>
      <c r="F148" s="108">
        <v>4</v>
      </c>
      <c r="G148" t="str">
        <f t="shared" si="9"/>
        <v>4244</v>
      </c>
      <c r="H148" s="107" t="s">
        <v>76</v>
      </c>
    </row>
    <row r="149" spans="1:8" x14ac:dyDescent="0.2">
      <c r="A149" s="90"/>
      <c r="B149" s="5" t="s">
        <v>112</v>
      </c>
      <c r="C149" s="102">
        <f>C147</f>
        <v>4</v>
      </c>
      <c r="D149" s="102">
        <f>D147</f>
        <v>4</v>
      </c>
      <c r="E149" s="99">
        <v>1</v>
      </c>
      <c r="F149" s="104">
        <f>F147</f>
        <v>3</v>
      </c>
      <c r="G149" t="str">
        <f t="shared" si="9"/>
        <v>4413</v>
      </c>
      <c r="H149" s="107" t="s">
        <v>84</v>
      </c>
    </row>
    <row r="150" spans="1:8" x14ac:dyDescent="0.2">
      <c r="A150" s="90"/>
      <c r="B150" s="5" t="s">
        <v>113</v>
      </c>
      <c r="C150" s="102">
        <f>C147</f>
        <v>4</v>
      </c>
      <c r="D150" s="99">
        <v>2</v>
      </c>
      <c r="E150" s="99">
        <v>3</v>
      </c>
      <c r="F150" s="104">
        <f>F147</f>
        <v>3</v>
      </c>
      <c r="G150" t="str">
        <f t="shared" si="9"/>
        <v>4233</v>
      </c>
      <c r="H150" s="107" t="s">
        <v>82</v>
      </c>
    </row>
    <row r="151" spans="1:8" ht="15" thickBot="1" x14ac:dyDescent="0.25">
      <c r="A151" s="90"/>
      <c r="B151" s="97" t="s">
        <v>114</v>
      </c>
      <c r="C151" s="100">
        <v>1</v>
      </c>
      <c r="D151" s="103">
        <f>D147</f>
        <v>4</v>
      </c>
      <c r="E151" s="103">
        <f>E147</f>
        <v>4</v>
      </c>
      <c r="F151" s="111">
        <v>2</v>
      </c>
      <c r="G151" t="str">
        <f t="shared" si="9"/>
        <v>1442</v>
      </c>
      <c r="H151" s="10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קושי</vt:lpstr>
      <vt:lpstr>נסיון</vt:lpstr>
      <vt:lpstr>DEMO</vt:lpstr>
      <vt:lpstr>d.cards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Venzhik</dc:creator>
  <cp:lastModifiedBy>Eitan Venzhik</cp:lastModifiedBy>
  <dcterms:created xsi:type="dcterms:W3CDTF">2026-01-26T15:38:00Z</dcterms:created>
  <dcterms:modified xsi:type="dcterms:W3CDTF">2026-02-19T11:34:58Z</dcterms:modified>
</cp:coreProperties>
</file>